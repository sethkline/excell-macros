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9095" windowHeight="11760"/>
  </bookViews>
  <sheets>
    <sheet name="Sheet1" sheetId="1" r:id="rId1"/>
    <sheet name="Labels" sheetId="5" r:id="rId2"/>
    <sheet name="Sheet3" sheetId="3" r:id="rId3"/>
  </sheets>
  <definedNames>
    <definedName name="ItsHistory">"Picture 1"</definedName>
    <definedName name="Pic_1">#REF!</definedName>
    <definedName name="PIC00">#REF!</definedName>
    <definedName name="Picture">OFFSET(#REF!,MATCH(Sheet3!$A$2,PictureList,0)-1,0,1,1)</definedName>
    <definedName name="PictureList">OFFSET(Sheet3!$A$1,1,0,COUNTA(Sheet3!$A:$A)-1,1)</definedName>
    <definedName name="_xlnm.Print_Area" localSheetId="1">Labels!$A$1:$Q$52</definedName>
  </definedNames>
  <calcPr calcId="125725"/>
</workbook>
</file>

<file path=xl/calcChain.xml><?xml version="1.0" encoding="utf-8"?>
<calcChain xmlns="http://schemas.openxmlformats.org/spreadsheetml/2006/main">
  <c r="M50" i="5"/>
  <c r="M51"/>
  <c r="I51"/>
  <c r="M105"/>
  <c r="M106" s="1"/>
  <c r="M12"/>
  <c r="M13" s="1"/>
  <c r="C68"/>
  <c r="C72"/>
  <c r="Q156"/>
  <c r="Q148"/>
  <c r="C147"/>
  <c r="M157"/>
  <c r="M158"/>
  <c r="M159" s="1"/>
  <c r="I159"/>
  <c r="I158"/>
  <c r="M147"/>
  <c r="C151"/>
  <c r="C138"/>
  <c r="M144"/>
  <c r="M145"/>
  <c r="I146"/>
  <c r="I145"/>
  <c r="Q141"/>
  <c r="I144"/>
  <c r="Q143"/>
  <c r="Q135"/>
  <c r="M134"/>
  <c r="C134"/>
  <c r="C125"/>
  <c r="M131"/>
  <c r="M132"/>
  <c r="I133"/>
  <c r="I132"/>
  <c r="Q122"/>
  <c r="Q130"/>
  <c r="C121"/>
  <c r="M121"/>
  <c r="C112"/>
  <c r="O147"/>
  <c r="C148"/>
  <c r="O134"/>
  <c r="C135"/>
  <c r="O121"/>
  <c r="C122"/>
  <c r="O108"/>
  <c r="C109"/>
  <c r="C95"/>
  <c r="Q109"/>
  <c r="Q117"/>
  <c r="M118"/>
  <c r="M119"/>
  <c r="I120"/>
  <c r="I119"/>
  <c r="M108"/>
  <c r="C108"/>
  <c r="Q90"/>
  <c r="Q82"/>
  <c r="C81"/>
  <c r="M81"/>
  <c r="M91"/>
  <c r="M92"/>
  <c r="M93" s="1"/>
  <c r="I93"/>
  <c r="I92"/>
  <c r="C85"/>
  <c r="M94"/>
  <c r="I105"/>
  <c r="I106"/>
  <c r="M104"/>
  <c r="Q103"/>
  <c r="Q95"/>
  <c r="C94"/>
  <c r="C98"/>
  <c r="Q69"/>
  <c r="Q77"/>
  <c r="M78"/>
  <c r="M79"/>
  <c r="M80" s="1"/>
  <c r="I80"/>
  <c r="I79"/>
  <c r="M68"/>
  <c r="I66"/>
  <c r="I67"/>
  <c r="M66"/>
  <c r="M67" s="1"/>
  <c r="M65"/>
  <c r="Q64"/>
  <c r="C55"/>
  <c r="Q56"/>
  <c r="M55"/>
  <c r="C59"/>
  <c r="I52"/>
  <c r="Q41"/>
  <c r="Q49"/>
  <c r="M40"/>
  <c r="C40"/>
  <c r="C44"/>
  <c r="I39"/>
  <c r="I38"/>
  <c r="M38"/>
  <c r="M37"/>
  <c r="Q36"/>
  <c r="Q28"/>
  <c r="C27"/>
  <c r="M27"/>
  <c r="C31"/>
  <c r="M25"/>
  <c r="M26" s="1"/>
  <c r="M24"/>
  <c r="I26"/>
  <c r="I25"/>
  <c r="Q23"/>
  <c r="Q15"/>
  <c r="M14"/>
  <c r="C18"/>
  <c r="C14"/>
  <c r="Q3"/>
  <c r="Q10"/>
  <c r="M11"/>
  <c r="I13"/>
  <c r="I12"/>
  <c r="C1"/>
  <c r="M1"/>
  <c r="C5"/>
  <c r="I11"/>
  <c r="I24"/>
  <c r="Q152"/>
  <c r="Q154"/>
  <c r="H134"/>
  <c r="Q139"/>
  <c r="Q126"/>
  <c r="Q128"/>
  <c r="Q113"/>
  <c r="Q115"/>
  <c r="H147"/>
  <c r="G156"/>
  <c r="I157"/>
  <c r="G143"/>
  <c r="G130"/>
  <c r="I131"/>
  <c r="H121"/>
  <c r="G117"/>
  <c r="I118"/>
  <c r="H108"/>
  <c r="Q99"/>
  <c r="Q101"/>
  <c r="Q86"/>
  <c r="Q88"/>
  <c r="Q73"/>
  <c r="Q75"/>
  <c r="Q61"/>
  <c r="Q62"/>
  <c r="Q34"/>
  <c r="Q45"/>
  <c r="Q47"/>
  <c r="Q32"/>
  <c r="Q20"/>
  <c r="Q6"/>
  <c r="Q9"/>
  <c r="G90"/>
  <c r="H94"/>
  <c r="G64"/>
  <c r="H68"/>
  <c r="H81"/>
  <c r="G103"/>
  <c r="G77"/>
  <c r="O94"/>
  <c r="I104"/>
  <c r="C82"/>
  <c r="O81"/>
  <c r="I91"/>
  <c r="I78"/>
  <c r="C69"/>
  <c r="I65"/>
  <c r="O68"/>
  <c r="C56"/>
  <c r="O55"/>
  <c r="C41"/>
  <c r="O40"/>
  <c r="C28"/>
  <c r="O27"/>
  <c r="O14"/>
  <c r="C15"/>
  <c r="O1"/>
  <c r="C2"/>
  <c r="H55"/>
  <c r="H40"/>
  <c r="G49"/>
  <c r="I50"/>
  <c r="H27"/>
  <c r="G36"/>
  <c r="I37"/>
  <c r="G23"/>
  <c r="Q18"/>
  <c r="H14"/>
  <c r="G10"/>
  <c r="H1"/>
  <c r="M120" l="1"/>
  <c r="M133"/>
  <c r="M146"/>
  <c r="M39"/>
  <c r="M52"/>
</calcChain>
</file>

<file path=xl/sharedStrings.xml><?xml version="1.0" encoding="utf-8"?>
<sst xmlns="http://schemas.openxmlformats.org/spreadsheetml/2006/main" count="125" uniqueCount="28">
  <si>
    <t xml:space="preserve"> </t>
  </si>
  <si>
    <t>CLOSED CAPTION</t>
  </si>
  <si>
    <t>Title</t>
  </si>
  <si>
    <t>Description</t>
  </si>
  <si>
    <t>Date</t>
  </si>
  <si>
    <t>IN</t>
  </si>
  <si>
    <t>OUT</t>
  </si>
  <si>
    <t>TYPE</t>
  </si>
  <si>
    <t>PROGRAM</t>
  </si>
  <si>
    <t>Disc</t>
  </si>
  <si>
    <t>OF</t>
  </si>
  <si>
    <t>Deck</t>
  </si>
  <si>
    <t>BY</t>
  </si>
  <si>
    <t>EVERGREEN</t>
  </si>
  <si>
    <t>CC</t>
  </si>
  <si>
    <t>IN:</t>
  </si>
  <si>
    <t>DISC:</t>
  </si>
  <si>
    <t>OUT:</t>
  </si>
  <si>
    <t>DECK:</t>
  </si>
  <si>
    <t>TRT:</t>
  </si>
  <si>
    <t>BY:</t>
  </si>
  <si>
    <t>TOUR</t>
  </si>
  <si>
    <t>Book</t>
  </si>
  <si>
    <t>Profile</t>
  </si>
  <si>
    <t>Its History</t>
  </si>
  <si>
    <t>Type</t>
  </si>
  <si>
    <t>Picture</t>
  </si>
  <si>
    <t>PIAA</t>
  </si>
</sst>
</file>

<file path=xl/styles.xml><?xml version="1.0" encoding="utf-8"?>
<styleSheet xmlns="http://schemas.openxmlformats.org/spreadsheetml/2006/main">
  <numFmts count="3">
    <numFmt numFmtId="164" formatCode="m/d/yy;@"/>
    <numFmt numFmtId="165" formatCode="mm/dd/yy;@"/>
    <numFmt numFmtId="166" formatCode="h:mm:ss;@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sz val="6"/>
      <color theme="1"/>
      <name val="Times New Roman"/>
      <family val="1"/>
    </font>
    <font>
      <sz val="11"/>
      <color theme="1"/>
      <name val="Times New Roman"/>
      <family val="1"/>
    </font>
    <font>
      <i/>
      <sz val="10"/>
      <color theme="1"/>
      <name val="Times New Roman"/>
      <family val="1"/>
    </font>
    <font>
      <sz val="10"/>
      <color theme="1"/>
      <name val="Times New Roman"/>
      <family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 tint="-0.249977111117893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46" fontId="0" fillId="0" borderId="0" xfId="0" applyNumberFormat="1"/>
    <xf numFmtId="21" fontId="0" fillId="0" borderId="0" xfId="0" applyNumberFormat="1"/>
    <xf numFmtId="0" fontId="1" fillId="0" borderId="0" xfId="0" applyFont="1"/>
    <xf numFmtId="20" fontId="1" fillId="0" borderId="0" xfId="0" applyNumberFormat="1" applyFont="1"/>
    <xf numFmtId="46" fontId="1" fillId="0" borderId="0" xfId="0" applyNumberFormat="1" applyFont="1"/>
    <xf numFmtId="0" fontId="2" fillId="0" borderId="0" xfId="0" applyFont="1" applyBorder="1"/>
    <xf numFmtId="0" fontId="6" fillId="0" borderId="0" xfId="0" applyFont="1" applyBorder="1"/>
    <xf numFmtId="0" fontId="2" fillId="0" borderId="0" xfId="0" applyFont="1" applyFill="1" applyBorder="1" applyAlignment="1"/>
    <xf numFmtId="0" fontId="2" fillId="0" borderId="0" xfId="0" applyFont="1" applyBorder="1" applyAlignment="1"/>
    <xf numFmtId="0" fontId="0" fillId="0" borderId="0" xfId="0" applyBorder="1"/>
    <xf numFmtId="0" fontId="2" fillId="0" borderId="0" xfId="0" applyFont="1" applyBorder="1" applyAlignment="1">
      <alignment horizontal="center"/>
    </xf>
    <xf numFmtId="49" fontId="2" fillId="0" borderId="0" xfId="0" applyNumberFormat="1" applyFont="1" applyBorder="1" applyAlignment="1">
      <alignment horizontal="right"/>
    </xf>
    <xf numFmtId="49" fontId="2" fillId="0" borderId="0" xfId="0" applyNumberFormat="1" applyFont="1" applyBorder="1" applyAlignment="1"/>
    <xf numFmtId="0" fontId="5" fillId="0" borderId="0" xfId="0" applyFont="1" applyBorder="1" applyAlignment="1">
      <alignment horizontal="center" vertical="center" textRotation="180"/>
    </xf>
    <xf numFmtId="165" fontId="6" fillId="0" borderId="0" xfId="0" applyNumberFormat="1" applyFont="1" applyBorder="1" applyAlignment="1">
      <alignment horizontal="center" vertical="center" textRotation="180"/>
    </xf>
    <xf numFmtId="0" fontId="2" fillId="0" borderId="0" xfId="0" applyFont="1" applyFill="1" applyBorder="1" applyAlignment="1">
      <alignment horizontal="center"/>
    </xf>
    <xf numFmtId="49" fontId="2" fillId="0" borderId="0" xfId="0" applyNumberFormat="1" applyFont="1" applyFill="1" applyBorder="1" applyAlignment="1">
      <alignment horizontal="center"/>
    </xf>
    <xf numFmtId="0" fontId="7" fillId="0" borderId="0" xfId="0" applyFont="1" applyBorder="1"/>
    <xf numFmtId="14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 applyAlignment="1"/>
    <xf numFmtId="0" fontId="2" fillId="0" borderId="4" xfId="0" applyFont="1" applyBorder="1" applyAlignment="1"/>
    <xf numFmtId="0" fontId="3" fillId="0" borderId="4" xfId="0" applyFont="1" applyBorder="1" applyAlignment="1"/>
    <xf numFmtId="0" fontId="5" fillId="0" borderId="6" xfId="0" applyFont="1" applyBorder="1" applyAlignment="1">
      <alignment vertical="center" textRotation="180"/>
    </xf>
    <xf numFmtId="0" fontId="6" fillId="0" borderId="7" xfId="0" applyFont="1" applyBorder="1" applyAlignment="1">
      <alignment horizontal="left"/>
    </xf>
    <xf numFmtId="0" fontId="5" fillId="0" borderId="8" xfId="0" applyFont="1" applyBorder="1" applyAlignment="1">
      <alignment vertical="center" textRotation="180"/>
    </xf>
    <xf numFmtId="0" fontId="2" fillId="0" borderId="7" xfId="0" applyFont="1" applyBorder="1"/>
    <xf numFmtId="0" fontId="6" fillId="0" borderId="7" xfId="0" applyFont="1" applyBorder="1"/>
    <xf numFmtId="165" fontId="6" fillId="0" borderId="8" xfId="0" applyNumberFormat="1" applyFont="1" applyBorder="1" applyAlignment="1">
      <alignment horizontal="center" vertical="center" textRotation="180"/>
    </xf>
    <xf numFmtId="0" fontId="0" fillId="0" borderId="10" xfId="0" applyBorder="1"/>
    <xf numFmtId="0" fontId="2" fillId="0" borderId="11" xfId="0" applyFont="1" applyBorder="1" applyAlignment="1">
      <alignment horizontal="center"/>
    </xf>
    <xf numFmtId="0" fontId="6" fillId="0" borderId="8" xfId="0" applyFont="1" applyBorder="1" applyAlignment="1">
      <alignment vertical="center" textRotation="180"/>
    </xf>
    <xf numFmtId="0" fontId="0" fillId="0" borderId="0" xfId="0" applyAlignment="1"/>
    <xf numFmtId="0" fontId="6" fillId="0" borderId="8" xfId="0" applyFont="1" applyBorder="1" applyAlignment="1">
      <alignment horizontal="center" vertical="center" textRotation="180"/>
    </xf>
    <xf numFmtId="165" fontId="6" fillId="0" borderId="8" xfId="0" applyNumberFormat="1" applyFont="1" applyBorder="1" applyAlignment="1">
      <alignment horizontal="center" vertical="center" textRotation="180"/>
    </xf>
    <xf numFmtId="165" fontId="6" fillId="0" borderId="12" xfId="0" applyNumberFormat="1" applyFont="1" applyBorder="1" applyAlignment="1">
      <alignment horizontal="center" vertical="center" textRotation="180"/>
    </xf>
    <xf numFmtId="0" fontId="6" fillId="0" borderId="8" xfId="0" applyFont="1" applyBorder="1" applyAlignment="1">
      <alignment horizontal="center" vertical="top" textRotation="180"/>
    </xf>
    <xf numFmtId="0" fontId="2" fillId="0" borderId="0" xfId="0" applyFont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49" fontId="2" fillId="0" borderId="0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textRotation="180"/>
    </xf>
    <xf numFmtId="0" fontId="5" fillId="0" borderId="0" xfId="0" applyFont="1" applyBorder="1" applyAlignment="1">
      <alignment horizontal="center" vertical="center" textRotation="180"/>
    </xf>
    <xf numFmtId="0" fontId="5" fillId="0" borderId="10" xfId="0" applyFont="1" applyBorder="1" applyAlignment="1">
      <alignment horizontal="center" vertical="center" textRotation="180"/>
    </xf>
    <xf numFmtId="46" fontId="2" fillId="0" borderId="1" xfId="0" applyNumberFormat="1" applyFont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46" fontId="2" fillId="0" borderId="11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49" fontId="2" fillId="0" borderId="10" xfId="0" applyNumberFormat="1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7" fillId="0" borderId="0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jpeg"/><Relationship Id="rId3" Type="http://schemas.openxmlformats.org/officeDocument/2006/relationships/image" Target="../media/image3.png"/><Relationship Id="rId7" Type="http://schemas.openxmlformats.org/officeDocument/2006/relationships/image" Target="../media/image5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jpeg"/><Relationship Id="rId5" Type="http://schemas.openxmlformats.org/officeDocument/2006/relationships/image" Target="../media/image10.png"/><Relationship Id="rId10" Type="http://schemas.openxmlformats.org/officeDocument/2006/relationships/image" Target="../media/image8.jpeg"/><Relationship Id="rId4" Type="http://schemas.openxmlformats.org/officeDocument/2006/relationships/image" Target="../media/image9.png"/><Relationship Id="rId9" Type="http://schemas.openxmlformats.org/officeDocument/2006/relationships/image" Target="../media/image7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38101</xdr:colOff>
      <xdr:row>120</xdr:row>
      <xdr:rowOff>31685</xdr:rowOff>
    </xdr:from>
    <xdr:to>
      <xdr:col>16</xdr:col>
      <xdr:colOff>142876</xdr:colOff>
      <xdr:row>121</xdr:row>
      <xdr:rowOff>3640</xdr:rowOff>
    </xdr:to>
    <xdr:pic>
      <xdr:nvPicPr>
        <xdr:cNvPr id="189" name="PROFILELOGO10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1" y="22386860"/>
          <a:ext cx="380999" cy="171979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76200</xdr:colOff>
      <xdr:row>120</xdr:row>
      <xdr:rowOff>788</xdr:rowOff>
    </xdr:from>
    <xdr:to>
      <xdr:col>16</xdr:col>
      <xdr:colOff>99762</xdr:colOff>
      <xdr:row>121</xdr:row>
      <xdr:rowOff>114302</xdr:rowOff>
    </xdr:to>
    <xdr:pic>
      <xdr:nvPicPr>
        <xdr:cNvPr id="190" name="HISTORYLOGO10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000750" y="22355963"/>
          <a:ext cx="299786" cy="313538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19050</xdr:colOff>
      <xdr:row>120</xdr:row>
      <xdr:rowOff>4482</xdr:rowOff>
    </xdr:from>
    <xdr:to>
      <xdr:col>16</xdr:col>
      <xdr:colOff>152401</xdr:colOff>
      <xdr:row>121</xdr:row>
      <xdr:rowOff>69477</xdr:rowOff>
    </xdr:to>
    <xdr:pic>
      <xdr:nvPicPr>
        <xdr:cNvPr id="191" name="PIAALOGO10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43600" y="22359657"/>
          <a:ext cx="409575" cy="26501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19050</xdr:colOff>
      <xdr:row>119</xdr:row>
      <xdr:rowOff>171451</xdr:rowOff>
    </xdr:from>
    <xdr:to>
      <xdr:col>17</xdr:col>
      <xdr:colOff>28575</xdr:colOff>
      <xdr:row>121</xdr:row>
      <xdr:rowOff>53097</xdr:rowOff>
    </xdr:to>
    <xdr:pic>
      <xdr:nvPicPr>
        <xdr:cNvPr id="192" name="BattlewalkLOGO10s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43600" y="22345651"/>
          <a:ext cx="504825" cy="262646"/>
        </a:xfrm>
        <a:prstGeom prst="rect">
          <a:avLst/>
        </a:prstGeom>
      </xdr:spPr>
    </xdr:pic>
    <xdr:clientData/>
  </xdr:twoCellAnchor>
  <xdr:twoCellAnchor editAs="oneCell">
    <xdr:from>
      <xdr:col>14</xdr:col>
      <xdr:colOff>76200</xdr:colOff>
      <xdr:row>120</xdr:row>
      <xdr:rowOff>1</xdr:rowOff>
    </xdr:from>
    <xdr:to>
      <xdr:col>16</xdr:col>
      <xdr:colOff>133351</xdr:colOff>
      <xdr:row>121</xdr:row>
      <xdr:rowOff>32849</xdr:rowOff>
    </xdr:to>
    <xdr:pic>
      <xdr:nvPicPr>
        <xdr:cNvPr id="193" name="CWILOGO10s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000750" y="22355176"/>
          <a:ext cx="333375" cy="232872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119</xdr:row>
      <xdr:rowOff>174251</xdr:rowOff>
    </xdr:from>
    <xdr:to>
      <xdr:col>17</xdr:col>
      <xdr:colOff>19051</xdr:colOff>
      <xdr:row>121</xdr:row>
      <xdr:rowOff>95810</xdr:rowOff>
    </xdr:to>
    <xdr:pic>
      <xdr:nvPicPr>
        <xdr:cNvPr id="194" name="INSESSIONLOGO10s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924551" y="22348451"/>
          <a:ext cx="514350" cy="302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104775</xdr:colOff>
      <xdr:row>120</xdr:row>
      <xdr:rowOff>7357</xdr:rowOff>
    </xdr:from>
    <xdr:to>
      <xdr:col>16</xdr:col>
      <xdr:colOff>123826</xdr:colOff>
      <xdr:row>121</xdr:row>
      <xdr:rowOff>85067</xdr:rowOff>
    </xdr:to>
    <xdr:pic>
      <xdr:nvPicPr>
        <xdr:cNvPr id="195" name="COURTSLOGO10s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029325" y="22362532"/>
          <a:ext cx="295275" cy="277734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120</xdr:row>
      <xdr:rowOff>28575</xdr:rowOff>
    </xdr:from>
    <xdr:to>
      <xdr:col>16</xdr:col>
      <xdr:colOff>123826</xdr:colOff>
      <xdr:row>121</xdr:row>
      <xdr:rowOff>38101</xdr:rowOff>
    </xdr:to>
    <xdr:pic>
      <xdr:nvPicPr>
        <xdr:cNvPr id="196" name="SUPREMECOURTLOGO10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010275" y="22383750"/>
          <a:ext cx="314325" cy="20955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19050</xdr:rowOff>
    </xdr:from>
    <xdr:to>
      <xdr:col>4</xdr:col>
      <xdr:colOff>323850</xdr:colOff>
      <xdr:row>79</xdr:row>
      <xdr:rowOff>47624</xdr:rowOff>
    </xdr:to>
    <xdr:pic>
      <xdr:nvPicPr>
        <xdr:cNvPr id="103" name="CWILOGO6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181100" y="13858875"/>
          <a:ext cx="1295400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200026</xdr:colOff>
      <xdr:row>75</xdr:row>
      <xdr:rowOff>145675</xdr:rowOff>
    </xdr:from>
    <xdr:to>
      <xdr:col>4</xdr:col>
      <xdr:colOff>161973</xdr:colOff>
      <xdr:row>79</xdr:row>
      <xdr:rowOff>97629</xdr:rowOff>
    </xdr:to>
    <xdr:pic>
      <xdr:nvPicPr>
        <xdr:cNvPr id="100" name="BOOKLOGO6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006850" y="14074587"/>
          <a:ext cx="1183388" cy="837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123824</xdr:colOff>
      <xdr:row>75</xdr:row>
      <xdr:rowOff>133351</xdr:rowOff>
    </xdr:from>
    <xdr:to>
      <xdr:col>5</xdr:col>
      <xdr:colOff>55825</xdr:colOff>
      <xdr:row>79</xdr:row>
      <xdr:rowOff>121480</xdr:rowOff>
    </xdr:to>
    <xdr:pic>
      <xdr:nvPicPr>
        <xdr:cNvPr id="101" name="TOURLOGO6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047749" y="13973176"/>
          <a:ext cx="1560777" cy="86443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9526</xdr:colOff>
      <xdr:row>75</xdr:row>
      <xdr:rowOff>161925</xdr:rowOff>
    </xdr:from>
    <xdr:to>
      <xdr:col>5</xdr:col>
      <xdr:colOff>153280</xdr:colOff>
      <xdr:row>79</xdr:row>
      <xdr:rowOff>85725</xdr:rowOff>
    </xdr:to>
    <xdr:pic>
      <xdr:nvPicPr>
        <xdr:cNvPr id="97" name="PROFILELOGO6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3451" y="14001750"/>
          <a:ext cx="1772530" cy="800101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38099</xdr:colOff>
      <xdr:row>74</xdr:row>
      <xdr:rowOff>23681</xdr:rowOff>
    </xdr:from>
    <xdr:to>
      <xdr:col>5</xdr:col>
      <xdr:colOff>47625</xdr:colOff>
      <xdr:row>79</xdr:row>
      <xdr:rowOff>62657</xdr:rowOff>
    </xdr:to>
    <xdr:pic>
      <xdr:nvPicPr>
        <xdr:cNvPr id="98" name="HISTORYLOGO6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14449" y="13673006"/>
          <a:ext cx="1057276" cy="1105777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152400</xdr:colOff>
      <xdr:row>75</xdr:row>
      <xdr:rowOff>47625</xdr:rowOff>
    </xdr:from>
    <xdr:to>
      <xdr:col>4</xdr:col>
      <xdr:colOff>351559</xdr:colOff>
      <xdr:row>79</xdr:row>
      <xdr:rowOff>95249</xdr:rowOff>
    </xdr:to>
    <xdr:pic>
      <xdr:nvPicPr>
        <xdr:cNvPr id="99" name="PIAALOGO6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76325" y="13887450"/>
          <a:ext cx="1427884" cy="9239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95250</xdr:colOff>
      <xdr:row>75</xdr:row>
      <xdr:rowOff>123826</xdr:rowOff>
    </xdr:from>
    <xdr:to>
      <xdr:col>5</xdr:col>
      <xdr:colOff>77560</xdr:colOff>
      <xdr:row>79</xdr:row>
      <xdr:rowOff>85725</xdr:rowOff>
    </xdr:to>
    <xdr:pic>
      <xdr:nvPicPr>
        <xdr:cNvPr id="102" name="BattlewalkLOGO6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019175" y="13963651"/>
          <a:ext cx="1611086" cy="8382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76201</xdr:colOff>
      <xdr:row>74</xdr:row>
      <xdr:rowOff>171450</xdr:rowOff>
    </xdr:from>
    <xdr:to>
      <xdr:col>5</xdr:col>
      <xdr:colOff>131445</xdr:colOff>
      <xdr:row>79</xdr:row>
      <xdr:rowOff>95249</xdr:rowOff>
    </xdr:to>
    <xdr:pic>
      <xdr:nvPicPr>
        <xdr:cNvPr id="104" name="INSESSIONLOGO6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000126" y="13820775"/>
          <a:ext cx="1684020" cy="9906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75</xdr:row>
      <xdr:rowOff>85725</xdr:rowOff>
    </xdr:from>
    <xdr:to>
      <xdr:col>5</xdr:col>
      <xdr:colOff>0</xdr:colOff>
      <xdr:row>79</xdr:row>
      <xdr:rowOff>114299</xdr:rowOff>
    </xdr:to>
    <xdr:pic>
      <xdr:nvPicPr>
        <xdr:cNvPr id="105" name="COURTSLOGO6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362075" y="13925550"/>
          <a:ext cx="962025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304800</xdr:colOff>
      <xdr:row>75</xdr:row>
      <xdr:rowOff>190500</xdr:rowOff>
    </xdr:from>
    <xdr:to>
      <xdr:col>4</xdr:col>
      <xdr:colOff>304800</xdr:colOff>
      <xdr:row>79</xdr:row>
      <xdr:rowOff>133349</xdr:rowOff>
    </xdr:to>
    <xdr:pic>
      <xdr:nvPicPr>
        <xdr:cNvPr id="106" name="SUPREMECOURTLOGO6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228725" y="14030325"/>
          <a:ext cx="1228725" cy="819150"/>
        </a:xfrm>
        <a:prstGeom prst="rect">
          <a:avLst/>
        </a:prstGeom>
      </xdr:spPr>
    </xdr:pic>
    <xdr:clientData/>
  </xdr:twoCellAnchor>
  <xdr:twoCellAnchor editAs="oneCell">
    <xdr:from>
      <xdr:col>1</xdr:col>
      <xdr:colOff>228273</xdr:colOff>
      <xdr:row>34</xdr:row>
      <xdr:rowOff>212912</xdr:rowOff>
    </xdr:from>
    <xdr:to>
      <xdr:col>4</xdr:col>
      <xdr:colOff>135592</xdr:colOff>
      <xdr:row>38</xdr:row>
      <xdr:rowOff>126206</xdr:rowOff>
    </xdr:to>
    <xdr:pic>
      <xdr:nvPicPr>
        <xdr:cNvPr id="15" name="BOOKLOGO3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035097" y="6454588"/>
          <a:ext cx="1128760" cy="7985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19049</xdr:colOff>
      <xdr:row>34</xdr:row>
      <xdr:rowOff>266700</xdr:rowOff>
    </xdr:from>
    <xdr:to>
      <xdr:col>4</xdr:col>
      <xdr:colOff>161924</xdr:colOff>
      <xdr:row>38</xdr:row>
      <xdr:rowOff>150055</xdr:rowOff>
    </xdr:to>
    <xdr:pic>
      <xdr:nvPicPr>
        <xdr:cNvPr id="16" name="TOURLOGO3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942974" y="6477000"/>
          <a:ext cx="1371600" cy="7596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38100</xdr:colOff>
      <xdr:row>35</xdr:row>
      <xdr:rowOff>1</xdr:rowOff>
    </xdr:from>
    <xdr:to>
      <xdr:col>4</xdr:col>
      <xdr:colOff>370888</xdr:colOff>
      <xdr:row>38</xdr:row>
      <xdr:rowOff>104775</xdr:rowOff>
    </xdr:to>
    <xdr:pic>
      <xdr:nvPicPr>
        <xdr:cNvPr id="12" name="PROFILELOGO3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62025" y="6486526"/>
          <a:ext cx="1561513" cy="70485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200023</xdr:colOff>
      <xdr:row>33</xdr:row>
      <xdr:rowOff>133350</xdr:rowOff>
    </xdr:from>
    <xdr:to>
      <xdr:col>3</xdr:col>
      <xdr:colOff>263860</xdr:colOff>
      <xdr:row>38</xdr:row>
      <xdr:rowOff>100060</xdr:rowOff>
    </xdr:to>
    <xdr:pic>
      <xdr:nvPicPr>
        <xdr:cNvPr id="13" name="HISTORYLOGO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23948" y="6143625"/>
          <a:ext cx="997287" cy="1043036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57150</xdr:colOff>
      <xdr:row>34</xdr:row>
      <xdr:rowOff>84605</xdr:rowOff>
    </xdr:from>
    <xdr:to>
      <xdr:col>4</xdr:col>
      <xdr:colOff>228600</xdr:colOff>
      <xdr:row>38</xdr:row>
      <xdr:rowOff>114301</xdr:rowOff>
    </xdr:to>
    <xdr:pic>
      <xdr:nvPicPr>
        <xdr:cNvPr id="14" name="PIAALOGO3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81075" y="6294905"/>
          <a:ext cx="1400175" cy="905996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35</xdr:row>
      <xdr:rowOff>0</xdr:rowOff>
    </xdr:from>
    <xdr:to>
      <xdr:col>4</xdr:col>
      <xdr:colOff>314325</xdr:colOff>
      <xdr:row>38</xdr:row>
      <xdr:rowOff>133349</xdr:rowOff>
    </xdr:to>
    <xdr:pic>
      <xdr:nvPicPr>
        <xdr:cNvPr id="57" name="BattlewalkLOGO3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057275" y="6486525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34</xdr:row>
      <xdr:rowOff>123825</xdr:rowOff>
    </xdr:from>
    <xdr:to>
      <xdr:col>4</xdr:col>
      <xdr:colOff>219075</xdr:colOff>
      <xdr:row>38</xdr:row>
      <xdr:rowOff>152400</xdr:rowOff>
    </xdr:to>
    <xdr:pic>
      <xdr:nvPicPr>
        <xdr:cNvPr id="58" name="CWILOGO3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076325" y="6334125"/>
          <a:ext cx="1295400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34</xdr:row>
      <xdr:rowOff>133350</xdr:rowOff>
    </xdr:from>
    <xdr:to>
      <xdr:col>4</xdr:col>
      <xdr:colOff>390525</xdr:colOff>
      <xdr:row>38</xdr:row>
      <xdr:rowOff>114300</xdr:rowOff>
    </xdr:to>
    <xdr:pic>
      <xdr:nvPicPr>
        <xdr:cNvPr id="59" name="INSESSIONLOGO3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085850" y="6343650"/>
          <a:ext cx="1457325" cy="857250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323850</xdr:colOff>
      <xdr:row>33</xdr:row>
      <xdr:rowOff>81387</xdr:rowOff>
    </xdr:from>
    <xdr:to>
      <xdr:col>4</xdr:col>
      <xdr:colOff>304800</xdr:colOff>
      <xdr:row>38</xdr:row>
      <xdr:rowOff>142874</xdr:rowOff>
    </xdr:to>
    <xdr:pic>
      <xdr:nvPicPr>
        <xdr:cNvPr id="60" name="COURTSLOGO3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247775" y="6091662"/>
          <a:ext cx="1209675" cy="1137813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200025</xdr:colOff>
      <xdr:row>34</xdr:row>
      <xdr:rowOff>85725</xdr:rowOff>
    </xdr:from>
    <xdr:to>
      <xdr:col>4</xdr:col>
      <xdr:colOff>403411</xdr:colOff>
      <xdr:row>38</xdr:row>
      <xdr:rowOff>161925</xdr:rowOff>
    </xdr:to>
    <xdr:pic>
      <xdr:nvPicPr>
        <xdr:cNvPr id="61" name="SUPREMECOURTLOGO3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123950" y="6296025"/>
          <a:ext cx="1428750" cy="95250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20</xdr:row>
      <xdr:rowOff>171450</xdr:rowOff>
    </xdr:from>
    <xdr:to>
      <xdr:col>4</xdr:col>
      <xdr:colOff>366713</xdr:colOff>
      <xdr:row>25</xdr:row>
      <xdr:rowOff>64994</xdr:rowOff>
    </xdr:to>
    <xdr:pic>
      <xdr:nvPicPr>
        <xdr:cNvPr id="51" name="SUPREMECOURTLOGO1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047750" y="3781425"/>
          <a:ext cx="1471613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228599</xdr:colOff>
      <xdr:row>21</xdr:row>
      <xdr:rowOff>197643</xdr:rowOff>
    </xdr:from>
    <xdr:to>
      <xdr:col>4</xdr:col>
      <xdr:colOff>85725</xdr:colOff>
      <xdr:row>25</xdr:row>
      <xdr:rowOff>67375</xdr:rowOff>
    </xdr:to>
    <xdr:pic>
      <xdr:nvPicPr>
        <xdr:cNvPr id="5" name="BOOKLOGO1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152524" y="4007643"/>
          <a:ext cx="1085851" cy="7572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66674</xdr:colOff>
      <xdr:row>21</xdr:row>
      <xdr:rowOff>238125</xdr:rowOff>
    </xdr:from>
    <xdr:to>
      <xdr:col>4</xdr:col>
      <xdr:colOff>209549</xdr:colOff>
      <xdr:row>25</xdr:row>
      <xdr:rowOff>110274</xdr:rowOff>
    </xdr:to>
    <xdr:pic>
      <xdr:nvPicPr>
        <xdr:cNvPr id="6" name="TOURLOGO1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990599" y="4048125"/>
          <a:ext cx="1371600" cy="7596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85725</xdr:colOff>
      <xdr:row>22</xdr:row>
      <xdr:rowOff>161925</xdr:rowOff>
    </xdr:from>
    <xdr:to>
      <xdr:col>4</xdr:col>
      <xdr:colOff>59787</xdr:colOff>
      <xdr:row>25</xdr:row>
      <xdr:rowOff>93569</xdr:rowOff>
    </xdr:to>
    <xdr:pic>
      <xdr:nvPicPr>
        <xdr:cNvPr id="2" name="PROFILELOGO1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9650" y="4248150"/>
          <a:ext cx="1202787" cy="5429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290231</xdr:colOff>
      <xdr:row>20</xdr:row>
      <xdr:rowOff>69558</xdr:rowOff>
    </xdr:from>
    <xdr:to>
      <xdr:col>4</xdr:col>
      <xdr:colOff>156883</xdr:colOff>
      <xdr:row>25</xdr:row>
      <xdr:rowOff>127653</xdr:rowOff>
    </xdr:to>
    <xdr:pic>
      <xdr:nvPicPr>
        <xdr:cNvPr id="3" name="HISTORYLOGO1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97055" y="3700264"/>
          <a:ext cx="1088093" cy="1156271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57149</xdr:colOff>
      <xdr:row>21</xdr:row>
      <xdr:rowOff>133350</xdr:rowOff>
    </xdr:from>
    <xdr:to>
      <xdr:col>4</xdr:col>
      <xdr:colOff>158460</xdr:colOff>
      <xdr:row>25</xdr:row>
      <xdr:rowOff>112619</xdr:rowOff>
    </xdr:to>
    <xdr:pic>
      <xdr:nvPicPr>
        <xdr:cNvPr id="4" name="PIAALOGO1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81074" y="3943350"/>
          <a:ext cx="1339561" cy="8667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114300</xdr:colOff>
      <xdr:row>21</xdr:row>
      <xdr:rowOff>257175</xdr:rowOff>
    </xdr:from>
    <xdr:to>
      <xdr:col>4</xdr:col>
      <xdr:colOff>295275</xdr:colOff>
      <xdr:row>25</xdr:row>
      <xdr:rowOff>103094</xdr:rowOff>
    </xdr:to>
    <xdr:pic>
      <xdr:nvPicPr>
        <xdr:cNvPr id="47" name="BattlewalkLOGO1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038225" y="4067175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21</xdr:row>
      <xdr:rowOff>85725</xdr:rowOff>
    </xdr:from>
    <xdr:to>
      <xdr:col>4</xdr:col>
      <xdr:colOff>323850</xdr:colOff>
      <xdr:row>25</xdr:row>
      <xdr:rowOff>103094</xdr:rowOff>
    </xdr:to>
    <xdr:pic>
      <xdr:nvPicPr>
        <xdr:cNvPr id="48" name="CWILOGO1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181100" y="3895725"/>
          <a:ext cx="1295400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21</xdr:row>
      <xdr:rowOff>133350</xdr:rowOff>
    </xdr:from>
    <xdr:to>
      <xdr:col>5</xdr:col>
      <xdr:colOff>19049</xdr:colOff>
      <xdr:row>25</xdr:row>
      <xdr:rowOff>103094</xdr:rowOff>
    </xdr:to>
    <xdr:pic>
      <xdr:nvPicPr>
        <xdr:cNvPr id="49" name="INSESSIONLOGO1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114425" y="3943350"/>
          <a:ext cx="1457325" cy="8572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20</xdr:row>
      <xdr:rowOff>118355</xdr:rowOff>
    </xdr:from>
    <xdr:to>
      <xdr:col>5</xdr:col>
      <xdr:colOff>200025</xdr:colOff>
      <xdr:row>25</xdr:row>
      <xdr:rowOff>150719</xdr:rowOff>
    </xdr:to>
    <xdr:pic>
      <xdr:nvPicPr>
        <xdr:cNvPr id="50" name="COURTSLOGO1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333500" y="3728330"/>
          <a:ext cx="1190625" cy="1119895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38101</xdr:colOff>
      <xdr:row>39</xdr:row>
      <xdr:rowOff>9525</xdr:rowOff>
    </xdr:from>
    <xdr:to>
      <xdr:col>16</xdr:col>
      <xdr:colOff>171451</xdr:colOff>
      <xdr:row>40</xdr:row>
      <xdr:rowOff>82549</xdr:rowOff>
    </xdr:to>
    <xdr:pic>
      <xdr:nvPicPr>
        <xdr:cNvPr id="237" name="SUPREMECOURTLOGO4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962651" y="7277100"/>
          <a:ext cx="409574" cy="273049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38</xdr:row>
      <xdr:rowOff>176072</xdr:rowOff>
    </xdr:from>
    <xdr:to>
      <xdr:col>16</xdr:col>
      <xdr:colOff>133351</xdr:colOff>
      <xdr:row>40</xdr:row>
      <xdr:rowOff>126561</xdr:rowOff>
    </xdr:to>
    <xdr:pic>
      <xdr:nvPicPr>
        <xdr:cNvPr id="238" name="COURTSLOGO4s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981700" y="7262672"/>
          <a:ext cx="352425" cy="331489"/>
        </a:xfrm>
        <a:prstGeom prst="rect">
          <a:avLst/>
        </a:prstGeom>
      </xdr:spPr>
    </xdr:pic>
    <xdr:clientData/>
  </xdr:twoCellAnchor>
  <xdr:twoCellAnchor editAs="oneCell">
    <xdr:from>
      <xdr:col>14</xdr:col>
      <xdr:colOff>19051</xdr:colOff>
      <xdr:row>39</xdr:row>
      <xdr:rowOff>9526</xdr:rowOff>
    </xdr:from>
    <xdr:to>
      <xdr:col>16</xdr:col>
      <xdr:colOff>190501</xdr:colOff>
      <xdr:row>40</xdr:row>
      <xdr:rowOff>72839</xdr:rowOff>
    </xdr:to>
    <xdr:pic>
      <xdr:nvPicPr>
        <xdr:cNvPr id="239" name="INSESSIONLOGO4s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943601" y="7277101"/>
          <a:ext cx="447674" cy="263338"/>
        </a:xfrm>
        <a:prstGeom prst="rect">
          <a:avLst/>
        </a:prstGeom>
      </xdr:spPr>
    </xdr:pic>
    <xdr:clientData/>
  </xdr:twoCellAnchor>
  <xdr:twoCellAnchor editAs="oneCell">
    <xdr:from>
      <xdr:col>14</xdr:col>
      <xdr:colOff>104775</xdr:colOff>
      <xdr:row>39</xdr:row>
      <xdr:rowOff>66676</xdr:rowOff>
    </xdr:from>
    <xdr:to>
      <xdr:col>16</xdr:col>
      <xdr:colOff>161926</xdr:colOff>
      <xdr:row>40</xdr:row>
      <xdr:rowOff>99523</xdr:rowOff>
    </xdr:to>
    <xdr:pic>
      <xdr:nvPicPr>
        <xdr:cNvPr id="240" name="CWILOGO4s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029325" y="7334251"/>
          <a:ext cx="333375" cy="232872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39</xdr:row>
      <xdr:rowOff>28576</xdr:rowOff>
    </xdr:from>
    <xdr:to>
      <xdr:col>17</xdr:col>
      <xdr:colOff>28575</xdr:colOff>
      <xdr:row>40</xdr:row>
      <xdr:rowOff>86241</xdr:rowOff>
    </xdr:to>
    <xdr:pic>
      <xdr:nvPicPr>
        <xdr:cNvPr id="241" name="BattlewalkLOGO4s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53125" y="7296151"/>
          <a:ext cx="495300" cy="257690"/>
        </a:xfrm>
        <a:prstGeom prst="rect">
          <a:avLst/>
        </a:prstGeom>
      </xdr:spPr>
    </xdr:pic>
    <xdr:clientData/>
  </xdr:twoCellAnchor>
  <xdr:twoCellAnchor editAs="oneCell">
    <xdr:from>
      <xdr:col>14</xdr:col>
      <xdr:colOff>9524</xdr:colOff>
      <xdr:row>39</xdr:row>
      <xdr:rowOff>28015</xdr:rowOff>
    </xdr:from>
    <xdr:to>
      <xdr:col>16</xdr:col>
      <xdr:colOff>190501</xdr:colOff>
      <xdr:row>40</xdr:row>
      <xdr:rowOff>123826</xdr:rowOff>
    </xdr:to>
    <xdr:pic>
      <xdr:nvPicPr>
        <xdr:cNvPr id="242" name="PIAALOGO4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34074" y="7295590"/>
          <a:ext cx="457201" cy="295836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47623</xdr:colOff>
      <xdr:row>39</xdr:row>
      <xdr:rowOff>4194</xdr:rowOff>
    </xdr:from>
    <xdr:to>
      <xdr:col>16</xdr:col>
      <xdr:colOff>114301</xdr:colOff>
      <xdr:row>40</xdr:row>
      <xdr:rowOff>162801</xdr:rowOff>
    </xdr:to>
    <xdr:pic>
      <xdr:nvPicPr>
        <xdr:cNvPr id="243" name="HISTORYLOGO4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972173" y="7271769"/>
          <a:ext cx="342902" cy="358632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28575</xdr:colOff>
      <xdr:row>39</xdr:row>
      <xdr:rowOff>57151</xdr:rowOff>
    </xdr:from>
    <xdr:to>
      <xdr:col>16</xdr:col>
      <xdr:colOff>180976</xdr:colOff>
      <xdr:row>40</xdr:row>
      <xdr:rowOff>50602</xdr:rowOff>
    </xdr:to>
    <xdr:pic>
      <xdr:nvPicPr>
        <xdr:cNvPr id="244" name="PROFILELOGO4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53125" y="7324726"/>
          <a:ext cx="428625" cy="193476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19049</xdr:colOff>
      <xdr:row>39</xdr:row>
      <xdr:rowOff>47626</xdr:rowOff>
    </xdr:from>
    <xdr:to>
      <xdr:col>16</xdr:col>
      <xdr:colOff>152401</xdr:colOff>
      <xdr:row>40</xdr:row>
      <xdr:rowOff>74443</xdr:rowOff>
    </xdr:to>
    <xdr:pic>
      <xdr:nvPicPr>
        <xdr:cNvPr id="245" name="TOURLOGO4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43599" y="7315201"/>
          <a:ext cx="409576" cy="22684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38099</xdr:colOff>
      <xdr:row>39</xdr:row>
      <xdr:rowOff>39730</xdr:rowOff>
    </xdr:from>
    <xdr:to>
      <xdr:col>16</xdr:col>
      <xdr:colOff>104776</xdr:colOff>
      <xdr:row>40</xdr:row>
      <xdr:rowOff>78833</xdr:rowOff>
    </xdr:to>
    <xdr:pic>
      <xdr:nvPicPr>
        <xdr:cNvPr id="246" name="BOOKLOGO4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5962649" y="7307305"/>
          <a:ext cx="342901" cy="23912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895349</xdr:colOff>
      <xdr:row>47</xdr:row>
      <xdr:rowOff>257175</xdr:rowOff>
    </xdr:from>
    <xdr:to>
      <xdr:col>4</xdr:col>
      <xdr:colOff>143995</xdr:colOff>
      <xdr:row>51</xdr:row>
      <xdr:rowOff>73295</xdr:rowOff>
    </xdr:to>
    <xdr:pic>
      <xdr:nvPicPr>
        <xdr:cNvPr id="26" name="TOURLOGO4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895349" y="8867775"/>
          <a:ext cx="1371600" cy="7596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28575</xdr:colOff>
      <xdr:row>48</xdr:row>
      <xdr:rowOff>9525</xdr:rowOff>
    </xdr:from>
    <xdr:to>
      <xdr:col>4</xdr:col>
      <xdr:colOff>340261</xdr:colOff>
      <xdr:row>51</xdr:row>
      <xdr:rowOff>104775</xdr:rowOff>
    </xdr:to>
    <xdr:pic>
      <xdr:nvPicPr>
        <xdr:cNvPr id="22" name="PROFILELOGO4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0" y="8896350"/>
          <a:ext cx="1540411" cy="6953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123823</xdr:colOff>
      <xdr:row>46</xdr:row>
      <xdr:rowOff>61344</xdr:rowOff>
    </xdr:from>
    <xdr:to>
      <xdr:col>3</xdr:col>
      <xdr:colOff>257175</xdr:colOff>
      <xdr:row>51</xdr:row>
      <xdr:rowOff>33524</xdr:rowOff>
    </xdr:to>
    <xdr:pic>
      <xdr:nvPicPr>
        <xdr:cNvPr id="23" name="HISTORYLOGO4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47748" y="8471919"/>
          <a:ext cx="1066802" cy="111574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76199</xdr:colOff>
      <xdr:row>46</xdr:row>
      <xdr:rowOff>161364</xdr:rowOff>
    </xdr:from>
    <xdr:to>
      <xdr:col>5</xdr:col>
      <xdr:colOff>38099</xdr:colOff>
      <xdr:row>51</xdr:row>
      <xdr:rowOff>47065</xdr:rowOff>
    </xdr:to>
    <xdr:pic>
      <xdr:nvPicPr>
        <xdr:cNvPr id="24" name="PIAALOGO4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00124" y="8571939"/>
          <a:ext cx="1590676" cy="102926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114300</xdr:colOff>
      <xdr:row>48</xdr:row>
      <xdr:rowOff>0</xdr:rowOff>
    </xdr:from>
    <xdr:to>
      <xdr:col>4</xdr:col>
      <xdr:colOff>295275</xdr:colOff>
      <xdr:row>51</xdr:row>
      <xdr:rowOff>133350</xdr:rowOff>
    </xdr:to>
    <xdr:pic>
      <xdr:nvPicPr>
        <xdr:cNvPr id="67" name="BattlewalkLOGO4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038225" y="8886825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133350</xdr:colOff>
      <xdr:row>47</xdr:row>
      <xdr:rowOff>133350</xdr:rowOff>
    </xdr:from>
    <xdr:to>
      <xdr:col>4</xdr:col>
      <xdr:colOff>200025</xdr:colOff>
      <xdr:row>51</xdr:row>
      <xdr:rowOff>94690</xdr:rowOff>
    </xdr:to>
    <xdr:pic>
      <xdr:nvPicPr>
        <xdr:cNvPr id="68" name="CWILOGO4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057275" y="8743950"/>
          <a:ext cx="1295400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133350</xdr:colOff>
      <xdr:row>47</xdr:row>
      <xdr:rowOff>171450</xdr:rowOff>
    </xdr:from>
    <xdr:to>
      <xdr:col>4</xdr:col>
      <xdr:colOff>361950</xdr:colOff>
      <xdr:row>51</xdr:row>
      <xdr:rowOff>85165</xdr:rowOff>
    </xdr:to>
    <xdr:pic>
      <xdr:nvPicPr>
        <xdr:cNvPr id="69" name="INSESSIONLOGO4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057275" y="8782050"/>
          <a:ext cx="1457325" cy="857250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323850</xdr:colOff>
      <xdr:row>46</xdr:row>
      <xdr:rowOff>90347</xdr:rowOff>
    </xdr:from>
    <xdr:to>
      <xdr:col>4</xdr:col>
      <xdr:colOff>295275</xdr:colOff>
      <xdr:row>51</xdr:row>
      <xdr:rowOff>75641</xdr:rowOff>
    </xdr:to>
    <xdr:pic>
      <xdr:nvPicPr>
        <xdr:cNvPr id="70" name="COURTSLOGO4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247775" y="8500922"/>
          <a:ext cx="1200150" cy="1128854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47</xdr:row>
      <xdr:rowOff>66675</xdr:rowOff>
    </xdr:from>
    <xdr:to>
      <xdr:col>4</xdr:col>
      <xdr:colOff>342900</xdr:colOff>
      <xdr:row>51</xdr:row>
      <xdr:rowOff>31190</xdr:rowOff>
    </xdr:to>
    <xdr:pic>
      <xdr:nvPicPr>
        <xdr:cNvPr id="71" name="SUPREMECOURTLOGO4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133475" y="8677275"/>
          <a:ext cx="1362075" cy="908050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161924</xdr:colOff>
      <xdr:row>47</xdr:row>
      <xdr:rowOff>182604</xdr:rowOff>
    </xdr:from>
    <xdr:to>
      <xdr:col>4</xdr:col>
      <xdr:colOff>95250</xdr:colOff>
      <xdr:row>51</xdr:row>
      <xdr:rowOff>49446</xdr:rowOff>
    </xdr:to>
    <xdr:pic>
      <xdr:nvPicPr>
        <xdr:cNvPr id="25" name="BOOKLOGO4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085849" y="8793204"/>
          <a:ext cx="1162051" cy="81037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59154</xdr:colOff>
      <xdr:row>0</xdr:row>
      <xdr:rowOff>38100</xdr:rowOff>
    </xdr:from>
    <xdr:to>
      <xdr:col>16</xdr:col>
      <xdr:colOff>171451</xdr:colOff>
      <xdr:row>1</xdr:row>
      <xdr:rowOff>109468</xdr:rowOff>
    </xdr:to>
    <xdr:pic>
      <xdr:nvPicPr>
        <xdr:cNvPr id="43" name="CWILOGOs" descr="CWI.jpg" hidden="1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5983704" y="38100"/>
          <a:ext cx="388521" cy="271393"/>
        </a:xfrm>
        <a:prstGeom prst="rect">
          <a:avLst/>
        </a:prstGeom>
      </xdr:spPr>
    </xdr:pic>
    <xdr:clientData/>
  </xdr:twoCellAnchor>
  <xdr:twoCellAnchor editAs="oneCell">
    <xdr:from>
      <xdr:col>14</xdr:col>
      <xdr:colOff>38099</xdr:colOff>
      <xdr:row>0</xdr:row>
      <xdr:rowOff>1</xdr:rowOff>
    </xdr:from>
    <xdr:to>
      <xdr:col>16</xdr:col>
      <xdr:colOff>209550</xdr:colOff>
      <xdr:row>1</xdr:row>
      <xdr:rowOff>63314</xdr:rowOff>
    </xdr:to>
    <xdr:pic>
      <xdr:nvPicPr>
        <xdr:cNvPr id="44" name="INSESSIONLOGOs" descr="In Session.jpg" hidden="1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5962649" y="1"/>
          <a:ext cx="447675" cy="263338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0</xdr:row>
      <xdr:rowOff>1</xdr:rowOff>
    </xdr:from>
    <xdr:to>
      <xdr:col>16</xdr:col>
      <xdr:colOff>142875</xdr:colOff>
      <xdr:row>1</xdr:row>
      <xdr:rowOff>59792</xdr:rowOff>
    </xdr:to>
    <xdr:pic>
      <xdr:nvPicPr>
        <xdr:cNvPr id="45" name="COURTSLOGOs" descr="Courts.jpg" hidden="1"/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6067425" y="1"/>
          <a:ext cx="276225" cy="259816"/>
        </a:xfrm>
        <a:prstGeom prst="rect">
          <a:avLst/>
        </a:prstGeom>
      </xdr:spPr>
    </xdr:pic>
    <xdr:clientData/>
  </xdr:twoCellAnchor>
  <xdr:twoCellAnchor editAs="oneCell">
    <xdr:from>
      <xdr:col>14</xdr:col>
      <xdr:colOff>90486</xdr:colOff>
      <xdr:row>0</xdr:row>
      <xdr:rowOff>19050</xdr:rowOff>
    </xdr:from>
    <xdr:to>
      <xdr:col>16</xdr:col>
      <xdr:colOff>200025</xdr:colOff>
      <xdr:row>1</xdr:row>
      <xdr:rowOff>76200</xdr:rowOff>
    </xdr:to>
    <xdr:pic>
      <xdr:nvPicPr>
        <xdr:cNvPr id="46" name="SUPREMECOURTLOGO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6015036" y="19050"/>
          <a:ext cx="385763" cy="257175"/>
        </a:xfrm>
        <a:prstGeom prst="rect">
          <a:avLst/>
        </a:prstGeom>
      </xdr:spPr>
    </xdr:pic>
    <xdr:clientData/>
  </xdr:twoCellAnchor>
  <xdr:twoCellAnchor editAs="oneCell">
    <xdr:from>
      <xdr:col>1</xdr:col>
      <xdr:colOff>299758</xdr:colOff>
      <xdr:row>154</xdr:row>
      <xdr:rowOff>231676</xdr:rowOff>
    </xdr:from>
    <xdr:to>
      <xdr:col>4</xdr:col>
      <xdr:colOff>271183</xdr:colOff>
      <xdr:row>158</xdr:row>
      <xdr:rowOff>192322</xdr:rowOff>
    </xdr:to>
    <xdr:pic>
      <xdr:nvPicPr>
        <xdr:cNvPr id="220" name="BOOKLOGO12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106582" y="29053205"/>
          <a:ext cx="1192866" cy="8459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304800</xdr:colOff>
      <xdr:row>154</xdr:row>
      <xdr:rowOff>190501</xdr:rowOff>
    </xdr:from>
    <xdr:to>
      <xdr:col>5</xdr:col>
      <xdr:colOff>47624</xdr:colOff>
      <xdr:row>158</xdr:row>
      <xdr:rowOff>73856</xdr:rowOff>
    </xdr:to>
    <xdr:pic>
      <xdr:nvPicPr>
        <xdr:cNvPr id="221" name="TOURLOGO12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28725" y="28689301"/>
          <a:ext cx="1371600" cy="7596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66676</xdr:colOff>
      <xdr:row>133</xdr:row>
      <xdr:rowOff>28575</xdr:rowOff>
    </xdr:from>
    <xdr:to>
      <xdr:col>16</xdr:col>
      <xdr:colOff>161926</xdr:colOff>
      <xdr:row>134</xdr:row>
      <xdr:rowOff>47064</xdr:rowOff>
    </xdr:to>
    <xdr:pic>
      <xdr:nvPicPr>
        <xdr:cNvPr id="214" name="INSESSIONLOGO11s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991226" y="24784050"/>
          <a:ext cx="371474" cy="218514"/>
        </a:xfrm>
        <a:prstGeom prst="rect">
          <a:avLst/>
        </a:prstGeom>
      </xdr:spPr>
    </xdr:pic>
    <xdr:clientData/>
  </xdr:twoCellAnchor>
  <xdr:twoCellAnchor editAs="oneCell">
    <xdr:from>
      <xdr:col>14</xdr:col>
      <xdr:colOff>114301</xdr:colOff>
      <xdr:row>133</xdr:row>
      <xdr:rowOff>19051</xdr:rowOff>
    </xdr:from>
    <xdr:to>
      <xdr:col>16</xdr:col>
      <xdr:colOff>123826</xdr:colOff>
      <xdr:row>134</xdr:row>
      <xdr:rowOff>87800</xdr:rowOff>
    </xdr:to>
    <xdr:pic>
      <xdr:nvPicPr>
        <xdr:cNvPr id="215" name="COURTSLOGO11s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038851" y="24774526"/>
          <a:ext cx="285749" cy="268774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133</xdr:row>
      <xdr:rowOff>9525</xdr:rowOff>
    </xdr:from>
    <xdr:to>
      <xdr:col>16</xdr:col>
      <xdr:colOff>142876</xdr:colOff>
      <xdr:row>134</xdr:row>
      <xdr:rowOff>31750</xdr:rowOff>
    </xdr:to>
    <xdr:pic>
      <xdr:nvPicPr>
        <xdr:cNvPr id="216" name="SUPREMECOURTLOGO11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010275" y="24765000"/>
          <a:ext cx="333375" cy="2222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141</xdr:row>
      <xdr:rowOff>47625</xdr:rowOff>
    </xdr:from>
    <xdr:to>
      <xdr:col>5</xdr:col>
      <xdr:colOff>81914</xdr:colOff>
      <xdr:row>145</xdr:row>
      <xdr:rowOff>104775</xdr:rowOff>
    </xdr:to>
    <xdr:pic>
      <xdr:nvPicPr>
        <xdr:cNvPr id="204" name="INSESSIONLOGO11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047750" y="26146125"/>
          <a:ext cx="1586865" cy="93345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141</xdr:row>
      <xdr:rowOff>66675</xdr:rowOff>
    </xdr:from>
    <xdr:to>
      <xdr:col>5</xdr:col>
      <xdr:colOff>114300</xdr:colOff>
      <xdr:row>145</xdr:row>
      <xdr:rowOff>95250</xdr:rowOff>
    </xdr:to>
    <xdr:pic>
      <xdr:nvPicPr>
        <xdr:cNvPr id="205" name="COURTSLOGO11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76375" y="26165175"/>
          <a:ext cx="962025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342900</xdr:colOff>
      <xdr:row>141</xdr:row>
      <xdr:rowOff>133350</xdr:rowOff>
    </xdr:from>
    <xdr:to>
      <xdr:col>5</xdr:col>
      <xdr:colOff>28574</xdr:colOff>
      <xdr:row>145</xdr:row>
      <xdr:rowOff>133350</xdr:rowOff>
    </xdr:to>
    <xdr:pic>
      <xdr:nvPicPr>
        <xdr:cNvPr id="206" name="SUPREMECOURTLOGO11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266825" y="26231850"/>
          <a:ext cx="1314450" cy="876300"/>
        </a:xfrm>
        <a:prstGeom prst="rect">
          <a:avLst/>
        </a:prstGeom>
      </xdr:spPr>
    </xdr:pic>
    <xdr:clientData/>
  </xdr:twoCellAnchor>
  <xdr:twoCellAnchor editAs="oneCell">
    <xdr:from>
      <xdr:col>1</xdr:col>
      <xdr:colOff>284628</xdr:colOff>
      <xdr:row>141</xdr:row>
      <xdr:rowOff>186578</xdr:rowOff>
    </xdr:from>
    <xdr:to>
      <xdr:col>4</xdr:col>
      <xdr:colOff>235629</xdr:colOff>
      <xdr:row>145</xdr:row>
      <xdr:rowOff>131809</xdr:rowOff>
    </xdr:to>
    <xdr:pic>
      <xdr:nvPicPr>
        <xdr:cNvPr id="200" name="BOOKLOGO11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091452" y="26453166"/>
          <a:ext cx="1172442" cy="8304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257175</xdr:colOff>
      <xdr:row>141</xdr:row>
      <xdr:rowOff>209550</xdr:rowOff>
    </xdr:from>
    <xdr:to>
      <xdr:col>4</xdr:col>
      <xdr:colOff>403411</xdr:colOff>
      <xdr:row>145</xdr:row>
      <xdr:rowOff>92905</xdr:rowOff>
    </xdr:to>
    <xdr:pic>
      <xdr:nvPicPr>
        <xdr:cNvPr id="201" name="TOURLOGO11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181100" y="26308050"/>
          <a:ext cx="1371600" cy="7596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261889</xdr:colOff>
      <xdr:row>128</xdr:row>
      <xdr:rowOff>100851</xdr:rowOff>
    </xdr:from>
    <xdr:to>
      <xdr:col>4</xdr:col>
      <xdr:colOff>248316</xdr:colOff>
      <xdr:row>132</xdr:row>
      <xdr:rowOff>70175</xdr:rowOff>
    </xdr:to>
    <xdr:pic>
      <xdr:nvPicPr>
        <xdr:cNvPr id="180" name="BOOKLOGO10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068713" y="23958175"/>
          <a:ext cx="1207868" cy="8545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295275</xdr:colOff>
      <xdr:row>128</xdr:row>
      <xdr:rowOff>228600</xdr:rowOff>
    </xdr:from>
    <xdr:to>
      <xdr:col>5</xdr:col>
      <xdr:colOff>38099</xdr:colOff>
      <xdr:row>132</xdr:row>
      <xdr:rowOff>111954</xdr:rowOff>
    </xdr:to>
    <xdr:pic>
      <xdr:nvPicPr>
        <xdr:cNvPr id="181" name="TOURLOGO10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23926800"/>
          <a:ext cx="1371600" cy="7596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133350</xdr:colOff>
      <xdr:row>115</xdr:row>
      <xdr:rowOff>0</xdr:rowOff>
    </xdr:from>
    <xdr:to>
      <xdr:col>5</xdr:col>
      <xdr:colOff>181927</xdr:colOff>
      <xdr:row>119</xdr:row>
      <xdr:rowOff>104776</xdr:rowOff>
    </xdr:to>
    <xdr:pic>
      <xdr:nvPicPr>
        <xdr:cNvPr id="164" name="INSESSIONLOGO9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057275" y="21297900"/>
          <a:ext cx="1667828" cy="981075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47626</xdr:colOff>
      <xdr:row>107</xdr:row>
      <xdr:rowOff>19051</xdr:rowOff>
    </xdr:from>
    <xdr:to>
      <xdr:col>16</xdr:col>
      <xdr:colOff>171451</xdr:colOff>
      <xdr:row>108</xdr:row>
      <xdr:rowOff>54349</xdr:rowOff>
    </xdr:to>
    <xdr:pic>
      <xdr:nvPicPr>
        <xdr:cNvPr id="174" name="INSESSIONLOGO9s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972176" y="19973926"/>
          <a:ext cx="400049" cy="235323"/>
        </a:xfrm>
        <a:prstGeom prst="rect">
          <a:avLst/>
        </a:prstGeom>
      </xdr:spPr>
    </xdr:pic>
    <xdr:clientData/>
  </xdr:twoCellAnchor>
  <xdr:twoCellAnchor editAs="oneCell">
    <xdr:from>
      <xdr:col>14</xdr:col>
      <xdr:colOff>123825</xdr:colOff>
      <xdr:row>107</xdr:row>
      <xdr:rowOff>38195</xdr:rowOff>
    </xdr:from>
    <xdr:to>
      <xdr:col>16</xdr:col>
      <xdr:colOff>114301</xdr:colOff>
      <xdr:row>108</xdr:row>
      <xdr:rowOff>89026</xdr:rowOff>
    </xdr:to>
    <xdr:pic>
      <xdr:nvPicPr>
        <xdr:cNvPr id="175" name="COURTSLOGO9s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048375" y="19993070"/>
          <a:ext cx="266700" cy="25085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107</xdr:row>
      <xdr:rowOff>38100</xdr:rowOff>
    </xdr:from>
    <xdr:to>
      <xdr:col>16</xdr:col>
      <xdr:colOff>142876</xdr:colOff>
      <xdr:row>108</xdr:row>
      <xdr:rowOff>79375</xdr:rowOff>
    </xdr:to>
    <xdr:pic>
      <xdr:nvPicPr>
        <xdr:cNvPr id="176" name="SUPREMECOURTLOGO9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981700" y="19992975"/>
          <a:ext cx="361950" cy="2413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114</xdr:row>
      <xdr:rowOff>142969</xdr:rowOff>
    </xdr:from>
    <xdr:to>
      <xdr:col>5</xdr:col>
      <xdr:colOff>161925</xdr:colOff>
      <xdr:row>119</xdr:row>
      <xdr:rowOff>123826</xdr:rowOff>
    </xdr:to>
    <xdr:pic>
      <xdr:nvPicPr>
        <xdr:cNvPr id="165" name="COURTSLOGO9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362075" y="21240844"/>
          <a:ext cx="1123950" cy="1057181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304800</xdr:colOff>
      <xdr:row>115</xdr:row>
      <xdr:rowOff>28575</xdr:rowOff>
    </xdr:from>
    <xdr:to>
      <xdr:col>5</xdr:col>
      <xdr:colOff>47624</xdr:colOff>
      <xdr:row>119</xdr:row>
      <xdr:rowOff>66676</xdr:rowOff>
    </xdr:to>
    <xdr:pic>
      <xdr:nvPicPr>
        <xdr:cNvPr id="166" name="SUPREMECOURTLOGO9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228725" y="213264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200025</xdr:colOff>
      <xdr:row>115</xdr:row>
      <xdr:rowOff>228600</xdr:rowOff>
    </xdr:from>
    <xdr:to>
      <xdr:col>4</xdr:col>
      <xdr:colOff>342900</xdr:colOff>
      <xdr:row>119</xdr:row>
      <xdr:rowOff>111956</xdr:rowOff>
    </xdr:to>
    <xdr:pic>
      <xdr:nvPicPr>
        <xdr:cNvPr id="161" name="TOURLOGO9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123950" y="21526500"/>
          <a:ext cx="1371600" cy="7596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296617</xdr:colOff>
      <xdr:row>115</xdr:row>
      <xdr:rowOff>112058</xdr:rowOff>
    </xdr:from>
    <xdr:to>
      <xdr:col>4</xdr:col>
      <xdr:colOff>304979</xdr:colOff>
      <xdr:row>119</xdr:row>
      <xdr:rowOff>97631</xdr:rowOff>
    </xdr:to>
    <xdr:pic>
      <xdr:nvPicPr>
        <xdr:cNvPr id="160" name="BOOKLOGO9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103441" y="21560117"/>
          <a:ext cx="1229803" cy="8708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285750</xdr:colOff>
      <xdr:row>101</xdr:row>
      <xdr:rowOff>142875</xdr:rowOff>
    </xdr:from>
    <xdr:to>
      <xdr:col>4</xdr:col>
      <xdr:colOff>289704</xdr:colOff>
      <xdr:row>105</xdr:row>
      <xdr:rowOff>126206</xdr:rowOff>
    </xdr:to>
    <xdr:pic>
      <xdr:nvPicPr>
        <xdr:cNvPr id="140" name="BOOKLOGO8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09675" y="18849975"/>
          <a:ext cx="1232679" cy="8596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190499</xdr:colOff>
      <xdr:row>101</xdr:row>
      <xdr:rowOff>169545</xdr:rowOff>
    </xdr:from>
    <xdr:to>
      <xdr:col>5</xdr:col>
      <xdr:colOff>57148</xdr:colOff>
      <xdr:row>105</xdr:row>
      <xdr:rowOff>121480</xdr:rowOff>
    </xdr:to>
    <xdr:pic>
      <xdr:nvPicPr>
        <xdr:cNvPr id="141" name="TOURLOGO8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114424" y="18876645"/>
          <a:ext cx="1495425" cy="82823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314325</xdr:colOff>
      <xdr:row>88</xdr:row>
      <xdr:rowOff>103773</xdr:rowOff>
    </xdr:from>
    <xdr:to>
      <xdr:col>4</xdr:col>
      <xdr:colOff>333375</xdr:colOff>
      <xdr:row>92</xdr:row>
      <xdr:rowOff>97631</xdr:rowOff>
    </xdr:to>
    <xdr:pic>
      <xdr:nvPicPr>
        <xdr:cNvPr id="120" name="BOOKLOGO7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38250" y="16343898"/>
          <a:ext cx="1247775" cy="8701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200025</xdr:colOff>
      <xdr:row>88</xdr:row>
      <xdr:rowOff>219075</xdr:rowOff>
    </xdr:from>
    <xdr:to>
      <xdr:col>4</xdr:col>
      <xdr:colOff>342900</xdr:colOff>
      <xdr:row>92</xdr:row>
      <xdr:rowOff>102430</xdr:rowOff>
    </xdr:to>
    <xdr:pic>
      <xdr:nvPicPr>
        <xdr:cNvPr id="121" name="TOURLOGO7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123950" y="16459200"/>
          <a:ext cx="1371600" cy="7596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190499</xdr:colOff>
      <xdr:row>62</xdr:row>
      <xdr:rowOff>44824</xdr:rowOff>
    </xdr:from>
    <xdr:to>
      <xdr:col>4</xdr:col>
      <xdr:colOff>258548</xdr:colOff>
      <xdr:row>66</xdr:row>
      <xdr:rowOff>69056</xdr:rowOff>
    </xdr:to>
    <xdr:pic>
      <xdr:nvPicPr>
        <xdr:cNvPr id="80" name="BOOKLOGO5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997323" y="11564471"/>
          <a:ext cx="1289490" cy="9094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62</xdr:row>
      <xdr:rowOff>180975</xdr:rowOff>
    </xdr:from>
    <xdr:to>
      <xdr:col>4</xdr:col>
      <xdr:colOff>392642</xdr:colOff>
      <xdr:row>66</xdr:row>
      <xdr:rowOff>102431</xdr:rowOff>
    </xdr:to>
    <xdr:pic>
      <xdr:nvPicPr>
        <xdr:cNvPr id="81" name="TOURLOGO5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104900" y="11630025"/>
          <a:ext cx="1440392" cy="7977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209549</xdr:colOff>
      <xdr:row>8</xdr:row>
      <xdr:rowOff>152400</xdr:rowOff>
    </xdr:from>
    <xdr:to>
      <xdr:col>4</xdr:col>
      <xdr:colOff>158869</xdr:colOff>
      <xdr:row>12</xdr:row>
      <xdr:rowOff>97631</xdr:rowOff>
    </xdr:to>
    <xdr:pic>
      <xdr:nvPicPr>
        <xdr:cNvPr id="35" name="BOOKLOGO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133474" y="1562100"/>
          <a:ext cx="1178045" cy="8215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47624</xdr:colOff>
      <xdr:row>8</xdr:row>
      <xdr:rowOff>266700</xdr:rowOff>
    </xdr:from>
    <xdr:to>
      <xdr:col>4</xdr:col>
      <xdr:colOff>190499</xdr:colOff>
      <xdr:row>12</xdr:row>
      <xdr:rowOff>150055</xdr:rowOff>
    </xdr:to>
    <xdr:pic>
      <xdr:nvPicPr>
        <xdr:cNvPr id="36" name="TOURLOGO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971549" y="1676400"/>
          <a:ext cx="1371600" cy="7596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28575</xdr:colOff>
      <xdr:row>8</xdr:row>
      <xdr:rowOff>266701</xdr:rowOff>
    </xdr:from>
    <xdr:to>
      <xdr:col>4</xdr:col>
      <xdr:colOff>323850</xdr:colOff>
      <xdr:row>12</xdr:row>
      <xdr:rowOff>78318</xdr:rowOff>
    </xdr:to>
    <xdr:pic>
      <xdr:nvPicPr>
        <xdr:cNvPr id="32" name="PROFILELOGO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0" y="1676401"/>
          <a:ext cx="1524000" cy="687917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295273</xdr:colOff>
      <xdr:row>7</xdr:row>
      <xdr:rowOff>101627</xdr:rowOff>
    </xdr:from>
    <xdr:to>
      <xdr:col>4</xdr:col>
      <xdr:colOff>85725</xdr:colOff>
      <xdr:row>12</xdr:row>
      <xdr:rowOff>100758</xdr:rowOff>
    </xdr:to>
    <xdr:pic>
      <xdr:nvPicPr>
        <xdr:cNvPr id="33" name="HISTORYLOGO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198" y="1320827"/>
          <a:ext cx="1019177" cy="1065931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95249</xdr:colOff>
      <xdr:row>8</xdr:row>
      <xdr:rowOff>95251</xdr:rowOff>
    </xdr:from>
    <xdr:to>
      <xdr:col>4</xdr:col>
      <xdr:colOff>250247</xdr:colOff>
      <xdr:row>12</xdr:row>
      <xdr:rowOff>114301</xdr:rowOff>
    </xdr:to>
    <xdr:pic>
      <xdr:nvPicPr>
        <xdr:cNvPr id="34" name="PIAALOGO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19174" y="1504951"/>
          <a:ext cx="1383723" cy="8953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19049</xdr:colOff>
      <xdr:row>0</xdr:row>
      <xdr:rowOff>0</xdr:rowOff>
    </xdr:from>
    <xdr:to>
      <xdr:col>16</xdr:col>
      <xdr:colOff>199159</xdr:colOff>
      <xdr:row>1</xdr:row>
      <xdr:rowOff>95250</xdr:rowOff>
    </xdr:to>
    <xdr:pic>
      <xdr:nvPicPr>
        <xdr:cNvPr id="27" name="PIAALOGO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43599" y="0"/>
          <a:ext cx="456334" cy="2952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95248</xdr:colOff>
      <xdr:row>0</xdr:row>
      <xdr:rowOff>0</xdr:rowOff>
    </xdr:from>
    <xdr:to>
      <xdr:col>16</xdr:col>
      <xdr:colOff>128669</xdr:colOff>
      <xdr:row>1</xdr:row>
      <xdr:rowOff>123825</xdr:rowOff>
    </xdr:to>
    <xdr:pic>
      <xdr:nvPicPr>
        <xdr:cNvPr id="28" name="HISTORYLOGO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019798" y="0"/>
          <a:ext cx="309645" cy="3238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28576</xdr:colOff>
      <xdr:row>0</xdr:row>
      <xdr:rowOff>28576</xdr:rowOff>
    </xdr:from>
    <xdr:to>
      <xdr:col>17</xdr:col>
      <xdr:colOff>0</xdr:colOff>
      <xdr:row>1</xdr:row>
      <xdr:rowOff>39225</xdr:rowOff>
    </xdr:to>
    <xdr:pic>
      <xdr:nvPicPr>
        <xdr:cNvPr id="29" name="PROFILELOGO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53126" y="28576"/>
          <a:ext cx="466724" cy="210674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21432</xdr:colOff>
      <xdr:row>0</xdr:row>
      <xdr:rowOff>38101</xdr:rowOff>
    </xdr:from>
    <xdr:to>
      <xdr:col>16</xdr:col>
      <xdr:colOff>209550</xdr:colOff>
      <xdr:row>1</xdr:row>
      <xdr:rowOff>95250</xdr:rowOff>
    </xdr:to>
    <xdr:pic>
      <xdr:nvPicPr>
        <xdr:cNvPr id="30" name="TOURLOGO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45982" y="38101"/>
          <a:ext cx="464342" cy="25717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79973</xdr:colOff>
      <xdr:row>0</xdr:row>
      <xdr:rowOff>38101</xdr:rowOff>
    </xdr:from>
    <xdr:to>
      <xdr:col>16</xdr:col>
      <xdr:colOff>158870</xdr:colOff>
      <xdr:row>1</xdr:row>
      <xdr:rowOff>85726</xdr:rowOff>
    </xdr:to>
    <xdr:pic>
      <xdr:nvPicPr>
        <xdr:cNvPr id="31" name="BOOKLOGO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004523" y="38101"/>
          <a:ext cx="355121" cy="247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8</xdr:row>
      <xdr:rowOff>247650</xdr:rowOff>
    </xdr:from>
    <xdr:to>
      <xdr:col>4</xdr:col>
      <xdr:colOff>247650</xdr:colOff>
      <xdr:row>12</xdr:row>
      <xdr:rowOff>104775</xdr:rowOff>
    </xdr:to>
    <xdr:pic>
      <xdr:nvPicPr>
        <xdr:cNvPr id="37" name="BattlewalkLOGO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90600" y="1657350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85724</xdr:colOff>
      <xdr:row>8</xdr:row>
      <xdr:rowOff>66675</xdr:rowOff>
    </xdr:from>
    <xdr:to>
      <xdr:col>4</xdr:col>
      <xdr:colOff>219074</xdr:colOff>
      <xdr:row>12</xdr:row>
      <xdr:rowOff>141824</xdr:rowOff>
    </xdr:to>
    <xdr:pic>
      <xdr:nvPicPr>
        <xdr:cNvPr id="38" name="CWILOGO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009649" y="1476375"/>
          <a:ext cx="1362075" cy="951449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8</xdr:row>
      <xdr:rowOff>161925</xdr:rowOff>
    </xdr:from>
    <xdr:to>
      <xdr:col>4</xdr:col>
      <xdr:colOff>314325</xdr:colOff>
      <xdr:row>12</xdr:row>
      <xdr:rowOff>142875</xdr:rowOff>
    </xdr:to>
    <xdr:pic>
      <xdr:nvPicPr>
        <xdr:cNvPr id="39" name="INSESSIONLOGO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009650" y="1571625"/>
          <a:ext cx="1457325" cy="857250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8</xdr:row>
      <xdr:rowOff>57150</xdr:rowOff>
    </xdr:from>
    <xdr:to>
      <xdr:col>4</xdr:col>
      <xdr:colOff>352426</xdr:colOff>
      <xdr:row>12</xdr:row>
      <xdr:rowOff>85725</xdr:rowOff>
    </xdr:to>
    <xdr:pic>
      <xdr:nvPicPr>
        <xdr:cNvPr id="40" name="COURTSLOGO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314450" y="1466850"/>
          <a:ext cx="962025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8</xdr:row>
      <xdr:rowOff>76200</xdr:rowOff>
    </xdr:from>
    <xdr:to>
      <xdr:col>4</xdr:col>
      <xdr:colOff>247650</xdr:colOff>
      <xdr:row>12</xdr:row>
      <xdr:rowOff>114300</xdr:rowOff>
    </xdr:to>
    <xdr:pic>
      <xdr:nvPicPr>
        <xdr:cNvPr id="41" name="SUPREMECOURTLOGO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028700" y="14859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962025</xdr:colOff>
      <xdr:row>0</xdr:row>
      <xdr:rowOff>47626</xdr:rowOff>
    </xdr:from>
    <xdr:to>
      <xdr:col>17</xdr:col>
      <xdr:colOff>-1</xdr:colOff>
      <xdr:row>1</xdr:row>
      <xdr:rowOff>105291</xdr:rowOff>
    </xdr:to>
    <xdr:pic>
      <xdr:nvPicPr>
        <xdr:cNvPr id="42" name="BattlewalkLOGOs" descr="BOG.jpg" hidden="1"/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5915025" y="47626"/>
          <a:ext cx="495300" cy="25769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62</xdr:row>
      <xdr:rowOff>228601</xdr:rowOff>
    </xdr:from>
    <xdr:to>
      <xdr:col>5</xdr:col>
      <xdr:colOff>102868</xdr:colOff>
      <xdr:row>66</xdr:row>
      <xdr:rowOff>95252</xdr:rowOff>
    </xdr:to>
    <xdr:pic>
      <xdr:nvPicPr>
        <xdr:cNvPr id="77" name="PROFILELOGO5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9651" y="11677651"/>
          <a:ext cx="1645918" cy="74295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323849</xdr:colOff>
      <xdr:row>61</xdr:row>
      <xdr:rowOff>30147</xdr:rowOff>
    </xdr:from>
    <xdr:to>
      <xdr:col>4</xdr:col>
      <xdr:colOff>219075</xdr:colOff>
      <xdr:row>66</xdr:row>
      <xdr:rowOff>138859</xdr:rowOff>
    </xdr:to>
    <xdr:pic>
      <xdr:nvPicPr>
        <xdr:cNvPr id="78" name="HISTORYLOGO5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47774" y="11288697"/>
          <a:ext cx="1123951" cy="1175511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200024</xdr:colOff>
      <xdr:row>62</xdr:row>
      <xdr:rowOff>44824</xdr:rowOff>
    </xdr:from>
    <xdr:to>
      <xdr:col>5</xdr:col>
      <xdr:colOff>47623</xdr:colOff>
      <xdr:row>66</xdr:row>
      <xdr:rowOff>123826</xdr:rowOff>
    </xdr:to>
    <xdr:pic>
      <xdr:nvPicPr>
        <xdr:cNvPr id="79" name="PIAALOGO5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23949" y="11493874"/>
          <a:ext cx="1476375" cy="95530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238125</xdr:colOff>
      <xdr:row>62</xdr:row>
      <xdr:rowOff>247650</xdr:rowOff>
    </xdr:from>
    <xdr:to>
      <xdr:col>5</xdr:col>
      <xdr:colOff>19049</xdr:colOff>
      <xdr:row>66</xdr:row>
      <xdr:rowOff>104776</xdr:rowOff>
    </xdr:to>
    <xdr:pic>
      <xdr:nvPicPr>
        <xdr:cNvPr id="82" name="BattlewalkLOGO5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162050" y="11696700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304799</xdr:colOff>
      <xdr:row>62</xdr:row>
      <xdr:rowOff>14359</xdr:rowOff>
    </xdr:from>
    <xdr:to>
      <xdr:col>5</xdr:col>
      <xdr:colOff>19048</xdr:colOff>
      <xdr:row>66</xdr:row>
      <xdr:rowOff>76202</xdr:rowOff>
    </xdr:to>
    <xdr:pic>
      <xdr:nvPicPr>
        <xdr:cNvPr id="83" name="CWILOGO5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228724" y="11463409"/>
          <a:ext cx="1343025" cy="938142"/>
        </a:xfrm>
        <a:prstGeom prst="rect">
          <a:avLst/>
        </a:prstGeom>
      </xdr:spPr>
    </xdr:pic>
    <xdr:clientData/>
  </xdr:twoCellAnchor>
  <xdr:twoCellAnchor editAs="oneCell">
    <xdr:from>
      <xdr:col>1</xdr:col>
      <xdr:colOff>95250</xdr:colOff>
      <xdr:row>62</xdr:row>
      <xdr:rowOff>19050</xdr:rowOff>
    </xdr:from>
    <xdr:to>
      <xdr:col>5</xdr:col>
      <xdr:colOff>101917</xdr:colOff>
      <xdr:row>66</xdr:row>
      <xdr:rowOff>104776</xdr:rowOff>
    </xdr:to>
    <xdr:pic>
      <xdr:nvPicPr>
        <xdr:cNvPr id="84" name="INSESSIONLOGO5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019175" y="11468100"/>
          <a:ext cx="1635443" cy="962025"/>
        </a:xfrm>
        <a:prstGeom prst="rect">
          <a:avLst/>
        </a:prstGeom>
      </xdr:spPr>
    </xdr:pic>
    <xdr:clientData/>
  </xdr:twoCellAnchor>
  <xdr:twoCellAnchor editAs="oneCell">
    <xdr:from>
      <xdr:col>1</xdr:col>
      <xdr:colOff>266700</xdr:colOff>
      <xdr:row>60</xdr:row>
      <xdr:rowOff>139763</xdr:rowOff>
    </xdr:from>
    <xdr:to>
      <xdr:col>5</xdr:col>
      <xdr:colOff>28574</xdr:colOff>
      <xdr:row>66</xdr:row>
      <xdr:rowOff>161926</xdr:rowOff>
    </xdr:to>
    <xdr:pic>
      <xdr:nvPicPr>
        <xdr:cNvPr id="85" name="COURTSLOGO5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190625" y="11179238"/>
          <a:ext cx="1390650" cy="1308037"/>
        </a:xfrm>
        <a:prstGeom prst="rect">
          <a:avLst/>
        </a:prstGeom>
      </xdr:spPr>
    </xdr:pic>
    <xdr:clientData/>
  </xdr:twoCellAnchor>
  <xdr:twoCellAnchor editAs="oneCell">
    <xdr:from>
      <xdr:col>1</xdr:col>
      <xdr:colOff>152399</xdr:colOff>
      <xdr:row>62</xdr:row>
      <xdr:rowOff>19050</xdr:rowOff>
    </xdr:from>
    <xdr:to>
      <xdr:col>4</xdr:col>
      <xdr:colOff>395287</xdr:colOff>
      <xdr:row>66</xdr:row>
      <xdr:rowOff>123826</xdr:rowOff>
    </xdr:to>
    <xdr:pic>
      <xdr:nvPicPr>
        <xdr:cNvPr id="86" name="SUPREMECOURTLOGO5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076324" y="11468100"/>
          <a:ext cx="1471613" cy="981075"/>
        </a:xfrm>
        <a:prstGeom prst="rect">
          <a:avLst/>
        </a:prstGeom>
      </xdr:spPr>
    </xdr:pic>
    <xdr:clientData/>
  </xdr:twoCellAnchor>
  <xdr:twoCellAnchor editAs="oneCell">
    <xdr:from>
      <xdr:col>14</xdr:col>
      <xdr:colOff>19050</xdr:colOff>
      <xdr:row>54</xdr:row>
      <xdr:rowOff>9525</xdr:rowOff>
    </xdr:from>
    <xdr:to>
      <xdr:col>17</xdr:col>
      <xdr:colOff>11642</xdr:colOff>
      <xdr:row>55</xdr:row>
      <xdr:rowOff>79717</xdr:rowOff>
    </xdr:to>
    <xdr:pic>
      <xdr:nvPicPr>
        <xdr:cNvPr id="87" name="TOURLOGO5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43600" y="10048875"/>
          <a:ext cx="487892" cy="27021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47625</xdr:colOff>
      <xdr:row>54</xdr:row>
      <xdr:rowOff>11029</xdr:rowOff>
    </xdr:from>
    <xdr:to>
      <xdr:col>16</xdr:col>
      <xdr:colOff>133351</xdr:colOff>
      <xdr:row>55</xdr:row>
      <xdr:rowOff>63417</xdr:rowOff>
    </xdr:to>
    <xdr:pic>
      <xdr:nvPicPr>
        <xdr:cNvPr id="88" name="BOOKLOGO5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5972175" y="10050379"/>
          <a:ext cx="361950" cy="2524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942977</xdr:colOff>
      <xdr:row>54</xdr:row>
      <xdr:rowOff>12105</xdr:rowOff>
    </xdr:from>
    <xdr:to>
      <xdr:col>17</xdr:col>
      <xdr:colOff>19050</xdr:colOff>
      <xdr:row>55</xdr:row>
      <xdr:rowOff>57150</xdr:rowOff>
    </xdr:to>
    <xdr:pic>
      <xdr:nvPicPr>
        <xdr:cNvPr id="89" name="PROFILELOGO5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95977" y="10051455"/>
          <a:ext cx="542924" cy="24507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85725</xdr:colOff>
      <xdr:row>53</xdr:row>
      <xdr:rowOff>173023</xdr:rowOff>
    </xdr:from>
    <xdr:to>
      <xdr:col>16</xdr:col>
      <xdr:colOff>142876</xdr:colOff>
      <xdr:row>55</xdr:row>
      <xdr:rowOff>150215</xdr:rowOff>
    </xdr:to>
    <xdr:pic>
      <xdr:nvPicPr>
        <xdr:cNvPr id="90" name="HISTORYLOGO5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010275" y="10021873"/>
          <a:ext cx="333375" cy="348668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54</xdr:row>
      <xdr:rowOff>25775</xdr:rowOff>
    </xdr:from>
    <xdr:to>
      <xdr:col>16</xdr:col>
      <xdr:colOff>190500</xdr:colOff>
      <xdr:row>55</xdr:row>
      <xdr:rowOff>127748</xdr:rowOff>
    </xdr:to>
    <xdr:pic>
      <xdr:nvPicPr>
        <xdr:cNvPr id="91" name="PIAALOGO5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24550" y="10065125"/>
          <a:ext cx="466724" cy="301998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9524</xdr:colOff>
      <xdr:row>54</xdr:row>
      <xdr:rowOff>38100</xdr:rowOff>
    </xdr:from>
    <xdr:to>
      <xdr:col>16</xdr:col>
      <xdr:colOff>200025</xdr:colOff>
      <xdr:row>55</xdr:row>
      <xdr:rowOff>80898</xdr:rowOff>
    </xdr:to>
    <xdr:pic>
      <xdr:nvPicPr>
        <xdr:cNvPr id="92" name="BattlewalkLOGO5s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34074" y="10077450"/>
          <a:ext cx="466725" cy="242823"/>
        </a:xfrm>
        <a:prstGeom prst="rect">
          <a:avLst/>
        </a:prstGeom>
      </xdr:spPr>
    </xdr:pic>
    <xdr:clientData/>
  </xdr:twoCellAnchor>
  <xdr:twoCellAnchor editAs="oneCell">
    <xdr:from>
      <xdr:col>14</xdr:col>
      <xdr:colOff>30580</xdr:colOff>
      <xdr:row>54</xdr:row>
      <xdr:rowOff>42934</xdr:rowOff>
    </xdr:from>
    <xdr:to>
      <xdr:col>16</xdr:col>
      <xdr:colOff>142875</xdr:colOff>
      <xdr:row>55</xdr:row>
      <xdr:rowOff>114300</xdr:rowOff>
    </xdr:to>
    <xdr:pic>
      <xdr:nvPicPr>
        <xdr:cNvPr id="93" name="CWILOGO5s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955130" y="10082284"/>
          <a:ext cx="388519" cy="271391"/>
        </a:xfrm>
        <a:prstGeom prst="rect">
          <a:avLst/>
        </a:prstGeom>
      </xdr:spPr>
    </xdr:pic>
    <xdr:clientData/>
  </xdr:twoCellAnchor>
  <xdr:twoCellAnchor editAs="oneCell">
    <xdr:from>
      <xdr:col>14</xdr:col>
      <xdr:colOff>38099</xdr:colOff>
      <xdr:row>54</xdr:row>
      <xdr:rowOff>28576</xdr:rowOff>
    </xdr:from>
    <xdr:to>
      <xdr:col>16</xdr:col>
      <xdr:colOff>178118</xdr:colOff>
      <xdr:row>55</xdr:row>
      <xdr:rowOff>73400</xdr:rowOff>
    </xdr:to>
    <xdr:pic>
      <xdr:nvPicPr>
        <xdr:cNvPr id="94" name="INSESSIONLOGO5s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962649" y="10067926"/>
          <a:ext cx="416243" cy="244849"/>
        </a:xfrm>
        <a:prstGeom prst="rect">
          <a:avLst/>
        </a:prstGeom>
      </xdr:spPr>
    </xdr:pic>
    <xdr:clientData/>
  </xdr:twoCellAnchor>
  <xdr:twoCellAnchor editAs="oneCell">
    <xdr:from>
      <xdr:col>14</xdr:col>
      <xdr:colOff>105777</xdr:colOff>
      <xdr:row>54</xdr:row>
      <xdr:rowOff>19050</xdr:rowOff>
    </xdr:from>
    <xdr:to>
      <xdr:col>16</xdr:col>
      <xdr:colOff>133350</xdr:colOff>
      <xdr:row>55</xdr:row>
      <xdr:rowOff>104775</xdr:rowOff>
    </xdr:to>
    <xdr:pic>
      <xdr:nvPicPr>
        <xdr:cNvPr id="95" name="COURTSLOGO5s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030327" y="10058400"/>
          <a:ext cx="303797" cy="28575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28574</xdr:colOff>
      <xdr:row>54</xdr:row>
      <xdr:rowOff>47625</xdr:rowOff>
    </xdr:from>
    <xdr:to>
      <xdr:col>16</xdr:col>
      <xdr:colOff>166688</xdr:colOff>
      <xdr:row>55</xdr:row>
      <xdr:rowOff>123825</xdr:rowOff>
    </xdr:to>
    <xdr:pic>
      <xdr:nvPicPr>
        <xdr:cNvPr id="96" name="SUPREMECOURTLOGO5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953124" y="10086975"/>
          <a:ext cx="414338" cy="276225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89</xdr:row>
      <xdr:rowOff>38101</xdr:rowOff>
    </xdr:from>
    <xdr:to>
      <xdr:col>5</xdr:col>
      <xdr:colOff>146390</xdr:colOff>
      <xdr:row>92</xdr:row>
      <xdr:rowOff>161926</xdr:rowOff>
    </xdr:to>
    <xdr:pic>
      <xdr:nvPicPr>
        <xdr:cNvPr id="117" name="PROFILELOGO7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5375" y="16554451"/>
          <a:ext cx="1603716" cy="7239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114299</xdr:colOff>
      <xdr:row>88</xdr:row>
      <xdr:rowOff>28051</xdr:rowOff>
    </xdr:from>
    <xdr:to>
      <xdr:col>5</xdr:col>
      <xdr:colOff>28575</xdr:colOff>
      <xdr:row>92</xdr:row>
      <xdr:rowOff>157909</xdr:rowOff>
    </xdr:to>
    <xdr:pic>
      <xdr:nvPicPr>
        <xdr:cNvPr id="118" name="HISTORYLOGO7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90649" y="16268176"/>
          <a:ext cx="962026" cy="1006158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257175</xdr:colOff>
      <xdr:row>88</xdr:row>
      <xdr:rowOff>180975</xdr:rowOff>
    </xdr:from>
    <xdr:to>
      <xdr:col>4</xdr:col>
      <xdr:colOff>171450</xdr:colOff>
      <xdr:row>92</xdr:row>
      <xdr:rowOff>38100</xdr:rowOff>
    </xdr:to>
    <xdr:pic>
      <xdr:nvPicPr>
        <xdr:cNvPr id="119" name="PIAALOGO7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81100" y="16421100"/>
          <a:ext cx="1133475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88</xdr:row>
      <xdr:rowOff>219075</xdr:rowOff>
    </xdr:from>
    <xdr:to>
      <xdr:col>4</xdr:col>
      <xdr:colOff>361950</xdr:colOff>
      <xdr:row>92</xdr:row>
      <xdr:rowOff>76200</xdr:rowOff>
    </xdr:to>
    <xdr:pic>
      <xdr:nvPicPr>
        <xdr:cNvPr id="122" name="BattlewalkLOGO7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104900" y="16459200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295275</xdr:colOff>
      <xdr:row>88</xdr:row>
      <xdr:rowOff>95250</xdr:rowOff>
    </xdr:from>
    <xdr:to>
      <xdr:col>4</xdr:col>
      <xdr:colOff>361950</xdr:colOff>
      <xdr:row>92</xdr:row>
      <xdr:rowOff>123825</xdr:rowOff>
    </xdr:to>
    <xdr:pic>
      <xdr:nvPicPr>
        <xdr:cNvPr id="123" name="CWILOGO7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219200" y="16335375"/>
          <a:ext cx="1295400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228600</xdr:colOff>
      <xdr:row>88</xdr:row>
      <xdr:rowOff>133350</xdr:rowOff>
    </xdr:from>
    <xdr:to>
      <xdr:col>5</xdr:col>
      <xdr:colOff>57149</xdr:colOff>
      <xdr:row>92</xdr:row>
      <xdr:rowOff>114300</xdr:rowOff>
    </xdr:to>
    <xdr:pic>
      <xdr:nvPicPr>
        <xdr:cNvPr id="124" name="INSESSIONLOGO7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152525" y="16373475"/>
          <a:ext cx="1457325" cy="857250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87</xdr:row>
      <xdr:rowOff>151364</xdr:rowOff>
    </xdr:from>
    <xdr:to>
      <xdr:col>5</xdr:col>
      <xdr:colOff>190500</xdr:colOff>
      <xdr:row>92</xdr:row>
      <xdr:rowOff>123826</xdr:rowOff>
    </xdr:to>
    <xdr:pic>
      <xdr:nvPicPr>
        <xdr:cNvPr id="125" name="COURTSLOGO7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09700" y="16200989"/>
          <a:ext cx="1104900" cy="1039262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323850</xdr:colOff>
      <xdr:row>88</xdr:row>
      <xdr:rowOff>47625</xdr:rowOff>
    </xdr:from>
    <xdr:to>
      <xdr:col>5</xdr:col>
      <xdr:colOff>95249</xdr:colOff>
      <xdr:row>92</xdr:row>
      <xdr:rowOff>104775</xdr:rowOff>
    </xdr:to>
    <xdr:pic>
      <xdr:nvPicPr>
        <xdr:cNvPr id="126" name="SUPREMECOURTLOGO7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247775" y="16287750"/>
          <a:ext cx="1400175" cy="933450"/>
        </a:xfrm>
        <a:prstGeom prst="rect">
          <a:avLst/>
        </a:prstGeom>
      </xdr:spPr>
    </xdr:pic>
    <xdr:clientData/>
  </xdr:twoCellAnchor>
  <xdr:twoCellAnchor editAs="oneCell">
    <xdr:from>
      <xdr:col>14</xdr:col>
      <xdr:colOff>42598</xdr:colOff>
      <xdr:row>80</xdr:row>
      <xdr:rowOff>9525</xdr:rowOff>
    </xdr:from>
    <xdr:to>
      <xdr:col>16</xdr:col>
      <xdr:colOff>161926</xdr:colOff>
      <xdr:row>81</xdr:row>
      <xdr:rowOff>28575</xdr:rowOff>
    </xdr:to>
    <xdr:pic>
      <xdr:nvPicPr>
        <xdr:cNvPr id="127" name="TOURLOGO7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67148" y="14906625"/>
          <a:ext cx="395552" cy="219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82924</xdr:colOff>
      <xdr:row>80</xdr:row>
      <xdr:rowOff>35977</xdr:rowOff>
    </xdr:from>
    <xdr:to>
      <xdr:col>16</xdr:col>
      <xdr:colOff>149599</xdr:colOff>
      <xdr:row>81</xdr:row>
      <xdr:rowOff>73399</xdr:rowOff>
    </xdr:to>
    <xdr:pic>
      <xdr:nvPicPr>
        <xdr:cNvPr id="128" name="BOOKLOGO7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134100" y="15130301"/>
          <a:ext cx="346822" cy="2391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0</xdr:colOff>
      <xdr:row>80</xdr:row>
      <xdr:rowOff>28575</xdr:rowOff>
    </xdr:from>
    <xdr:to>
      <xdr:col>16</xdr:col>
      <xdr:colOff>166908</xdr:colOff>
      <xdr:row>81</xdr:row>
      <xdr:rowOff>28575</xdr:rowOff>
    </xdr:to>
    <xdr:pic>
      <xdr:nvPicPr>
        <xdr:cNvPr id="129" name="PROFILELOGO7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24550" y="14925675"/>
          <a:ext cx="443132" cy="200025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104774</xdr:colOff>
      <xdr:row>80</xdr:row>
      <xdr:rowOff>9525</xdr:rowOff>
    </xdr:from>
    <xdr:to>
      <xdr:col>16</xdr:col>
      <xdr:colOff>116141</xdr:colOff>
      <xdr:row>81</xdr:row>
      <xdr:rowOff>110284</xdr:rowOff>
    </xdr:to>
    <xdr:pic>
      <xdr:nvPicPr>
        <xdr:cNvPr id="130" name="HISTORYLOGO7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029324" y="14906625"/>
          <a:ext cx="287591" cy="300784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47625</xdr:colOff>
      <xdr:row>80</xdr:row>
      <xdr:rowOff>0</xdr:rowOff>
    </xdr:from>
    <xdr:to>
      <xdr:col>16</xdr:col>
      <xdr:colOff>180976</xdr:colOff>
      <xdr:row>81</xdr:row>
      <xdr:rowOff>64994</xdr:rowOff>
    </xdr:to>
    <xdr:pic>
      <xdr:nvPicPr>
        <xdr:cNvPr id="131" name="PIAALOGO7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72175" y="14897100"/>
          <a:ext cx="409575" cy="26501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28575</xdr:colOff>
      <xdr:row>80</xdr:row>
      <xdr:rowOff>19051</xdr:rowOff>
    </xdr:from>
    <xdr:to>
      <xdr:col>17</xdr:col>
      <xdr:colOff>495</xdr:colOff>
      <xdr:row>81</xdr:row>
      <xdr:rowOff>57150</xdr:rowOff>
    </xdr:to>
    <xdr:pic>
      <xdr:nvPicPr>
        <xdr:cNvPr id="132" name="BattlewalkLOGO7s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53125" y="14916151"/>
          <a:ext cx="457695" cy="238124"/>
        </a:xfrm>
        <a:prstGeom prst="rect">
          <a:avLst/>
        </a:prstGeom>
      </xdr:spPr>
    </xdr:pic>
    <xdr:clientData/>
  </xdr:twoCellAnchor>
  <xdr:twoCellAnchor editAs="oneCell">
    <xdr:from>
      <xdr:col>14</xdr:col>
      <xdr:colOff>114300</xdr:colOff>
      <xdr:row>80</xdr:row>
      <xdr:rowOff>9526</xdr:rowOff>
    </xdr:from>
    <xdr:to>
      <xdr:col>16</xdr:col>
      <xdr:colOff>123826</xdr:colOff>
      <xdr:row>81</xdr:row>
      <xdr:rowOff>9107</xdr:rowOff>
    </xdr:to>
    <xdr:pic>
      <xdr:nvPicPr>
        <xdr:cNvPr id="133" name="CWILOGO7s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038850" y="14906626"/>
          <a:ext cx="285750" cy="199606"/>
        </a:xfrm>
        <a:prstGeom prst="rect">
          <a:avLst/>
        </a:prstGeom>
      </xdr:spPr>
    </xdr:pic>
    <xdr:clientData/>
  </xdr:twoCellAnchor>
  <xdr:twoCellAnchor editAs="oneCell">
    <xdr:from>
      <xdr:col>14</xdr:col>
      <xdr:colOff>72387</xdr:colOff>
      <xdr:row>79</xdr:row>
      <xdr:rowOff>171449</xdr:rowOff>
    </xdr:from>
    <xdr:to>
      <xdr:col>16</xdr:col>
      <xdr:colOff>152400</xdr:colOff>
      <xdr:row>80</xdr:row>
      <xdr:rowOff>134470</xdr:rowOff>
    </xdr:to>
    <xdr:pic>
      <xdr:nvPicPr>
        <xdr:cNvPr id="134" name="INSESSIONLOGO7s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996937" y="14887574"/>
          <a:ext cx="356237" cy="20955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80</xdr:row>
      <xdr:rowOff>18674</xdr:rowOff>
    </xdr:from>
    <xdr:to>
      <xdr:col>16</xdr:col>
      <xdr:colOff>130943</xdr:colOff>
      <xdr:row>81</xdr:row>
      <xdr:rowOff>76200</xdr:rowOff>
    </xdr:to>
    <xdr:pic>
      <xdr:nvPicPr>
        <xdr:cNvPr id="135" name="COURTSLOGO7s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057900" y="14915774"/>
          <a:ext cx="273818" cy="257551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80</xdr:row>
      <xdr:rowOff>47625</xdr:rowOff>
    </xdr:from>
    <xdr:to>
      <xdr:col>16</xdr:col>
      <xdr:colOff>152401</xdr:colOff>
      <xdr:row>81</xdr:row>
      <xdr:rowOff>88900</xdr:rowOff>
    </xdr:to>
    <xdr:pic>
      <xdr:nvPicPr>
        <xdr:cNvPr id="136" name="SUPREMECOURTLOGO7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991225" y="14944725"/>
          <a:ext cx="361950" cy="241300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238126</xdr:colOff>
      <xdr:row>102</xdr:row>
      <xdr:rowOff>28576</xdr:rowOff>
    </xdr:from>
    <xdr:to>
      <xdr:col>5</xdr:col>
      <xdr:colOff>44254</xdr:colOff>
      <xdr:row>105</xdr:row>
      <xdr:rowOff>76201</xdr:rowOff>
    </xdr:to>
    <xdr:pic>
      <xdr:nvPicPr>
        <xdr:cNvPr id="137" name="PROFILELOGO8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62051" y="19011901"/>
          <a:ext cx="1434904" cy="6477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142874</xdr:colOff>
      <xdr:row>100</xdr:row>
      <xdr:rowOff>109406</xdr:rowOff>
    </xdr:from>
    <xdr:to>
      <xdr:col>5</xdr:col>
      <xdr:colOff>152400</xdr:colOff>
      <xdr:row>105</xdr:row>
      <xdr:rowOff>148383</xdr:rowOff>
    </xdr:to>
    <xdr:pic>
      <xdr:nvPicPr>
        <xdr:cNvPr id="138" name="HISTORYLOGO8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19224" y="18626006"/>
          <a:ext cx="1057276" cy="1105777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247650</xdr:colOff>
      <xdr:row>101</xdr:row>
      <xdr:rowOff>77881</xdr:rowOff>
    </xdr:from>
    <xdr:to>
      <xdr:col>4</xdr:col>
      <xdr:colOff>403411</xdr:colOff>
      <xdr:row>105</xdr:row>
      <xdr:rowOff>95250</xdr:rowOff>
    </xdr:to>
    <xdr:pic>
      <xdr:nvPicPr>
        <xdr:cNvPr id="139" name="PIAALOGO8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71575" y="18784981"/>
          <a:ext cx="1381125" cy="89366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247650</xdr:colOff>
      <xdr:row>101</xdr:row>
      <xdr:rowOff>228600</xdr:rowOff>
    </xdr:from>
    <xdr:to>
      <xdr:col>5</xdr:col>
      <xdr:colOff>28574</xdr:colOff>
      <xdr:row>105</xdr:row>
      <xdr:rowOff>85725</xdr:rowOff>
    </xdr:to>
    <xdr:pic>
      <xdr:nvPicPr>
        <xdr:cNvPr id="142" name="BattlewalkLOGO8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171575" y="18935700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101</xdr:row>
      <xdr:rowOff>66675</xdr:rowOff>
    </xdr:from>
    <xdr:to>
      <xdr:col>4</xdr:col>
      <xdr:colOff>323850</xdr:colOff>
      <xdr:row>105</xdr:row>
      <xdr:rowOff>95250</xdr:rowOff>
    </xdr:to>
    <xdr:pic>
      <xdr:nvPicPr>
        <xdr:cNvPr id="143" name="CWILOGO8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181100" y="18773775"/>
          <a:ext cx="1295400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101</xdr:row>
      <xdr:rowOff>133350</xdr:rowOff>
    </xdr:from>
    <xdr:to>
      <xdr:col>4</xdr:col>
      <xdr:colOff>403411</xdr:colOff>
      <xdr:row>105</xdr:row>
      <xdr:rowOff>114300</xdr:rowOff>
    </xdr:to>
    <xdr:pic>
      <xdr:nvPicPr>
        <xdr:cNvPr id="144" name="INSESSIONLOGO8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095375" y="18840450"/>
          <a:ext cx="1457325" cy="857250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100</xdr:row>
      <xdr:rowOff>41590</xdr:rowOff>
    </xdr:from>
    <xdr:to>
      <xdr:col>4</xdr:col>
      <xdr:colOff>228600</xdr:colOff>
      <xdr:row>105</xdr:row>
      <xdr:rowOff>85726</xdr:rowOff>
    </xdr:to>
    <xdr:pic>
      <xdr:nvPicPr>
        <xdr:cNvPr id="145" name="COURTSLOGO8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200150" y="18558190"/>
          <a:ext cx="1181100" cy="1110936"/>
        </a:xfrm>
        <a:prstGeom prst="rect">
          <a:avLst/>
        </a:prstGeom>
      </xdr:spPr>
    </xdr:pic>
    <xdr:clientData/>
  </xdr:twoCellAnchor>
  <xdr:twoCellAnchor editAs="oneCell">
    <xdr:from>
      <xdr:col>1</xdr:col>
      <xdr:colOff>314325</xdr:colOff>
      <xdr:row>101</xdr:row>
      <xdr:rowOff>47625</xdr:rowOff>
    </xdr:from>
    <xdr:to>
      <xdr:col>5</xdr:col>
      <xdr:colOff>14287</xdr:colOff>
      <xdr:row>105</xdr:row>
      <xdr:rowOff>57150</xdr:rowOff>
    </xdr:to>
    <xdr:pic>
      <xdr:nvPicPr>
        <xdr:cNvPr id="146" name="SUPREMECOURTLOGO8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238250" y="18754725"/>
          <a:ext cx="1328738" cy="885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19050</xdr:colOff>
      <xdr:row>93</xdr:row>
      <xdr:rowOff>1</xdr:rowOff>
    </xdr:from>
    <xdr:to>
      <xdr:col>17</xdr:col>
      <xdr:colOff>0</xdr:colOff>
      <xdr:row>94</xdr:row>
      <xdr:rowOff>58470</xdr:rowOff>
    </xdr:to>
    <xdr:pic>
      <xdr:nvPicPr>
        <xdr:cNvPr id="147" name="TOURLOGO8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43600" y="17297401"/>
          <a:ext cx="466725" cy="25849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76200</xdr:colOff>
      <xdr:row>93</xdr:row>
      <xdr:rowOff>28576</xdr:rowOff>
    </xdr:from>
    <xdr:to>
      <xdr:col>16</xdr:col>
      <xdr:colOff>137305</xdr:colOff>
      <xdr:row>94</xdr:row>
      <xdr:rowOff>63793</xdr:rowOff>
    </xdr:to>
    <xdr:pic>
      <xdr:nvPicPr>
        <xdr:cNvPr id="148" name="BOOKLOGO8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000750" y="17325976"/>
          <a:ext cx="337329" cy="2352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28576</xdr:colOff>
      <xdr:row>93</xdr:row>
      <xdr:rowOff>28576</xdr:rowOff>
    </xdr:from>
    <xdr:to>
      <xdr:col>17</xdr:col>
      <xdr:colOff>0</xdr:colOff>
      <xdr:row>94</xdr:row>
      <xdr:rowOff>34926</xdr:rowOff>
    </xdr:to>
    <xdr:pic>
      <xdr:nvPicPr>
        <xdr:cNvPr id="149" name="PROFILELOGO8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53126" y="17325976"/>
          <a:ext cx="457199" cy="206375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85724</xdr:colOff>
      <xdr:row>93</xdr:row>
      <xdr:rowOff>4631</xdr:rowOff>
    </xdr:from>
    <xdr:to>
      <xdr:col>16</xdr:col>
      <xdr:colOff>104776</xdr:colOff>
      <xdr:row>94</xdr:row>
      <xdr:rowOff>113427</xdr:rowOff>
    </xdr:to>
    <xdr:pic>
      <xdr:nvPicPr>
        <xdr:cNvPr id="150" name="HISTORYLOGO8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010274" y="17302031"/>
          <a:ext cx="295276" cy="308821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63211</xdr:colOff>
      <xdr:row>93</xdr:row>
      <xdr:rowOff>1682</xdr:rowOff>
    </xdr:from>
    <xdr:to>
      <xdr:col>16</xdr:col>
      <xdr:colOff>152401</xdr:colOff>
      <xdr:row>94</xdr:row>
      <xdr:rowOff>38101</xdr:rowOff>
    </xdr:to>
    <xdr:pic>
      <xdr:nvPicPr>
        <xdr:cNvPr id="151" name="PIAALOGO8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87761" y="17299082"/>
          <a:ext cx="365414" cy="23644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19051</xdr:colOff>
      <xdr:row>93</xdr:row>
      <xdr:rowOff>19051</xdr:rowOff>
    </xdr:from>
    <xdr:to>
      <xdr:col>16</xdr:col>
      <xdr:colOff>180977</xdr:colOff>
      <xdr:row>94</xdr:row>
      <xdr:rowOff>46983</xdr:rowOff>
    </xdr:to>
    <xdr:pic>
      <xdr:nvPicPr>
        <xdr:cNvPr id="152" name="BattlewalkLOGO8s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43601" y="17316451"/>
          <a:ext cx="438150" cy="22795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93</xdr:row>
      <xdr:rowOff>28575</xdr:rowOff>
    </xdr:from>
    <xdr:to>
      <xdr:col>16</xdr:col>
      <xdr:colOff>129840</xdr:colOff>
      <xdr:row>94</xdr:row>
      <xdr:rowOff>19050</xdr:rowOff>
    </xdr:to>
    <xdr:pic>
      <xdr:nvPicPr>
        <xdr:cNvPr id="153" name="CWILOGO8s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057900" y="17325975"/>
          <a:ext cx="272715" cy="1905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92</xdr:row>
      <xdr:rowOff>161925</xdr:rowOff>
    </xdr:from>
    <xdr:to>
      <xdr:col>16</xdr:col>
      <xdr:colOff>161926</xdr:colOff>
      <xdr:row>93</xdr:row>
      <xdr:rowOff>188259</xdr:rowOff>
    </xdr:to>
    <xdr:pic>
      <xdr:nvPicPr>
        <xdr:cNvPr id="154" name="INSESSIONLOGO8s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010275" y="17278350"/>
          <a:ext cx="352425" cy="207309"/>
        </a:xfrm>
        <a:prstGeom prst="rect">
          <a:avLst/>
        </a:prstGeom>
      </xdr:spPr>
    </xdr:pic>
    <xdr:clientData/>
  </xdr:twoCellAnchor>
  <xdr:twoCellAnchor editAs="oneCell">
    <xdr:from>
      <xdr:col>14</xdr:col>
      <xdr:colOff>123826</xdr:colOff>
      <xdr:row>93</xdr:row>
      <xdr:rowOff>13015</xdr:rowOff>
    </xdr:from>
    <xdr:to>
      <xdr:col>16</xdr:col>
      <xdr:colOff>133352</xdr:colOff>
      <xdr:row>94</xdr:row>
      <xdr:rowOff>81765</xdr:rowOff>
    </xdr:to>
    <xdr:pic>
      <xdr:nvPicPr>
        <xdr:cNvPr id="155" name="COURTSLOGO8s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048376" y="17310415"/>
          <a:ext cx="285750" cy="268775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93</xdr:row>
      <xdr:rowOff>28576</xdr:rowOff>
    </xdr:from>
    <xdr:to>
      <xdr:col>16</xdr:col>
      <xdr:colOff>142876</xdr:colOff>
      <xdr:row>94</xdr:row>
      <xdr:rowOff>50801</xdr:rowOff>
    </xdr:to>
    <xdr:pic>
      <xdr:nvPicPr>
        <xdr:cNvPr id="156" name="SUPREMECOURTLOGO8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010275" y="17325976"/>
          <a:ext cx="333375" cy="22225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115</xdr:row>
      <xdr:rowOff>200025</xdr:rowOff>
    </xdr:from>
    <xdr:to>
      <xdr:col>5</xdr:col>
      <xdr:colOff>166174</xdr:colOff>
      <xdr:row>119</xdr:row>
      <xdr:rowOff>95251</xdr:rowOff>
    </xdr:to>
    <xdr:pic>
      <xdr:nvPicPr>
        <xdr:cNvPr id="157" name="PROFILELOGO9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9651" y="21497925"/>
          <a:ext cx="1709224" cy="7715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95249</xdr:colOff>
      <xdr:row>114</xdr:row>
      <xdr:rowOff>169178</xdr:rowOff>
    </xdr:from>
    <xdr:to>
      <xdr:col>5</xdr:col>
      <xdr:colOff>47625</xdr:colOff>
      <xdr:row>119</xdr:row>
      <xdr:rowOff>138860</xdr:rowOff>
    </xdr:to>
    <xdr:pic>
      <xdr:nvPicPr>
        <xdr:cNvPr id="158" name="HISTORYLOGO9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71599" y="21267053"/>
          <a:ext cx="1000126" cy="1046006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247650</xdr:colOff>
      <xdr:row>115</xdr:row>
      <xdr:rowOff>161925</xdr:rowOff>
    </xdr:from>
    <xdr:to>
      <xdr:col>4</xdr:col>
      <xdr:colOff>299605</xdr:colOff>
      <xdr:row>119</xdr:row>
      <xdr:rowOff>114301</xdr:rowOff>
    </xdr:to>
    <xdr:pic>
      <xdr:nvPicPr>
        <xdr:cNvPr id="159" name="PIAALOGO9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71575" y="21459825"/>
          <a:ext cx="1280680" cy="8286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257175</xdr:colOff>
      <xdr:row>115</xdr:row>
      <xdr:rowOff>161925</xdr:rowOff>
    </xdr:from>
    <xdr:to>
      <xdr:col>5</xdr:col>
      <xdr:colOff>38099</xdr:colOff>
      <xdr:row>119</xdr:row>
      <xdr:rowOff>19051</xdr:rowOff>
    </xdr:to>
    <xdr:pic>
      <xdr:nvPicPr>
        <xdr:cNvPr id="162" name="BattlewalkLOGO9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181100" y="21459825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295275</xdr:colOff>
      <xdr:row>115</xdr:row>
      <xdr:rowOff>85725</xdr:rowOff>
    </xdr:from>
    <xdr:to>
      <xdr:col>4</xdr:col>
      <xdr:colOff>361950</xdr:colOff>
      <xdr:row>119</xdr:row>
      <xdr:rowOff>114301</xdr:rowOff>
    </xdr:to>
    <xdr:pic>
      <xdr:nvPicPr>
        <xdr:cNvPr id="163" name="CWILOGO9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219200" y="21383625"/>
          <a:ext cx="1295400" cy="904875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107</xdr:row>
      <xdr:rowOff>9526</xdr:rowOff>
    </xdr:from>
    <xdr:to>
      <xdr:col>16</xdr:col>
      <xdr:colOff>184151</xdr:colOff>
      <xdr:row>108</xdr:row>
      <xdr:rowOff>38101</xdr:rowOff>
    </xdr:to>
    <xdr:pic>
      <xdr:nvPicPr>
        <xdr:cNvPr id="167" name="TOURLOGO9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72175" y="19964401"/>
          <a:ext cx="412750" cy="2286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104776</xdr:colOff>
      <xdr:row>107</xdr:row>
      <xdr:rowOff>47626</xdr:rowOff>
    </xdr:from>
    <xdr:to>
      <xdr:col>16</xdr:col>
      <xdr:colOff>101720</xdr:colOff>
      <xdr:row>108</xdr:row>
      <xdr:rowOff>38100</xdr:rowOff>
    </xdr:to>
    <xdr:pic>
      <xdr:nvPicPr>
        <xdr:cNvPr id="168" name="BOOKLOGO9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029326" y="20002501"/>
          <a:ext cx="273168" cy="1904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19051</xdr:colOff>
      <xdr:row>107</xdr:row>
      <xdr:rowOff>19050</xdr:rowOff>
    </xdr:from>
    <xdr:to>
      <xdr:col>16</xdr:col>
      <xdr:colOff>200026</xdr:colOff>
      <xdr:row>108</xdr:row>
      <xdr:rowOff>25400</xdr:rowOff>
    </xdr:to>
    <xdr:pic>
      <xdr:nvPicPr>
        <xdr:cNvPr id="169" name="PROFILELOGO9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43601" y="19973925"/>
          <a:ext cx="457199" cy="206375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114299</xdr:colOff>
      <xdr:row>107</xdr:row>
      <xdr:rowOff>26303</xdr:rowOff>
    </xdr:from>
    <xdr:to>
      <xdr:col>16</xdr:col>
      <xdr:colOff>66676</xdr:colOff>
      <xdr:row>108</xdr:row>
      <xdr:rowOff>65366</xdr:rowOff>
    </xdr:to>
    <xdr:pic>
      <xdr:nvPicPr>
        <xdr:cNvPr id="170" name="HISTORYLOGO9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038849" y="19981178"/>
          <a:ext cx="228601" cy="239088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76200</xdr:colOff>
      <xdr:row>107</xdr:row>
      <xdr:rowOff>38102</xdr:rowOff>
    </xdr:from>
    <xdr:to>
      <xdr:col>16</xdr:col>
      <xdr:colOff>142876</xdr:colOff>
      <xdr:row>108</xdr:row>
      <xdr:rowOff>59954</xdr:rowOff>
    </xdr:to>
    <xdr:pic>
      <xdr:nvPicPr>
        <xdr:cNvPr id="171" name="PIAALOGO9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000750" y="19992977"/>
          <a:ext cx="342900" cy="221877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47625</xdr:colOff>
      <xdr:row>107</xdr:row>
      <xdr:rowOff>38101</xdr:rowOff>
    </xdr:from>
    <xdr:to>
      <xdr:col>16</xdr:col>
      <xdr:colOff>180976</xdr:colOff>
      <xdr:row>108</xdr:row>
      <xdr:rowOff>51166</xdr:rowOff>
    </xdr:to>
    <xdr:pic>
      <xdr:nvPicPr>
        <xdr:cNvPr id="172" name="BattlewalkLOGO9s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72175" y="19992976"/>
          <a:ext cx="409575" cy="213090"/>
        </a:xfrm>
        <a:prstGeom prst="rect">
          <a:avLst/>
        </a:prstGeom>
      </xdr:spPr>
    </xdr:pic>
    <xdr:clientData/>
  </xdr:twoCellAnchor>
  <xdr:twoCellAnchor editAs="oneCell">
    <xdr:from>
      <xdr:col>14</xdr:col>
      <xdr:colOff>104775</xdr:colOff>
      <xdr:row>107</xdr:row>
      <xdr:rowOff>38101</xdr:rowOff>
    </xdr:from>
    <xdr:to>
      <xdr:col>16</xdr:col>
      <xdr:colOff>133351</xdr:colOff>
      <xdr:row>108</xdr:row>
      <xdr:rowOff>50988</xdr:rowOff>
    </xdr:to>
    <xdr:pic>
      <xdr:nvPicPr>
        <xdr:cNvPr id="173" name="CWILOGO9s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029325" y="19992976"/>
          <a:ext cx="304800" cy="212912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219076</xdr:colOff>
      <xdr:row>129</xdr:row>
      <xdr:rowOff>31685</xdr:rowOff>
    </xdr:from>
    <xdr:to>
      <xdr:col>5</xdr:col>
      <xdr:colOff>123824</xdr:colOff>
      <xdr:row>132</xdr:row>
      <xdr:rowOff>123826</xdr:rowOff>
    </xdr:to>
    <xdr:pic>
      <xdr:nvPicPr>
        <xdr:cNvPr id="177" name="PROFILELOGO10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1" y="24006110"/>
          <a:ext cx="1533524" cy="692216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200024</xdr:colOff>
      <xdr:row>128</xdr:row>
      <xdr:rowOff>29362</xdr:rowOff>
    </xdr:from>
    <xdr:to>
      <xdr:col>5</xdr:col>
      <xdr:colOff>85725</xdr:colOff>
      <xdr:row>132</xdr:row>
      <xdr:rowOff>129333</xdr:rowOff>
    </xdr:to>
    <xdr:pic>
      <xdr:nvPicPr>
        <xdr:cNvPr id="178" name="HISTORYLOGO10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76374" y="23727562"/>
          <a:ext cx="933451" cy="976272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295275</xdr:colOff>
      <xdr:row>128</xdr:row>
      <xdr:rowOff>14007</xdr:rowOff>
    </xdr:from>
    <xdr:to>
      <xdr:col>5</xdr:col>
      <xdr:colOff>28574</xdr:colOff>
      <xdr:row>132</xdr:row>
      <xdr:rowOff>19049</xdr:rowOff>
    </xdr:to>
    <xdr:pic>
      <xdr:nvPicPr>
        <xdr:cNvPr id="179" name="PIAALOGO10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19200" y="23712207"/>
          <a:ext cx="1362075" cy="88134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266700</xdr:colOff>
      <xdr:row>128</xdr:row>
      <xdr:rowOff>114300</xdr:rowOff>
    </xdr:from>
    <xdr:to>
      <xdr:col>5</xdr:col>
      <xdr:colOff>47624</xdr:colOff>
      <xdr:row>131</xdr:row>
      <xdr:rowOff>171449</xdr:rowOff>
    </xdr:to>
    <xdr:pic>
      <xdr:nvPicPr>
        <xdr:cNvPr id="182" name="BattlewalkLOGO10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190625" y="23812500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128</xdr:row>
      <xdr:rowOff>47625</xdr:rowOff>
    </xdr:from>
    <xdr:to>
      <xdr:col>5</xdr:col>
      <xdr:colOff>266700</xdr:colOff>
      <xdr:row>132</xdr:row>
      <xdr:rowOff>76199</xdr:rowOff>
    </xdr:to>
    <xdr:pic>
      <xdr:nvPicPr>
        <xdr:cNvPr id="183" name="CWILOGO10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295400" y="23745825"/>
          <a:ext cx="1295400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128</xdr:row>
      <xdr:rowOff>69476</xdr:rowOff>
    </xdr:from>
    <xdr:to>
      <xdr:col>5</xdr:col>
      <xdr:colOff>95249</xdr:colOff>
      <xdr:row>132</xdr:row>
      <xdr:rowOff>95249</xdr:rowOff>
    </xdr:to>
    <xdr:pic>
      <xdr:nvPicPr>
        <xdr:cNvPr id="184" name="INSESSIONLOGO10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114425" y="23767676"/>
          <a:ext cx="1533525" cy="902074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127</xdr:row>
      <xdr:rowOff>159757</xdr:rowOff>
    </xdr:from>
    <xdr:to>
      <xdr:col>5</xdr:col>
      <xdr:colOff>142875</xdr:colOff>
      <xdr:row>132</xdr:row>
      <xdr:rowOff>104776</xdr:rowOff>
    </xdr:to>
    <xdr:pic>
      <xdr:nvPicPr>
        <xdr:cNvPr id="185" name="COURTSLOGO10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381125" y="23657932"/>
          <a:ext cx="1085850" cy="1021344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128</xdr:row>
      <xdr:rowOff>66675</xdr:rowOff>
    </xdr:from>
    <xdr:to>
      <xdr:col>5</xdr:col>
      <xdr:colOff>19049</xdr:colOff>
      <xdr:row>132</xdr:row>
      <xdr:rowOff>104774</xdr:rowOff>
    </xdr:to>
    <xdr:pic>
      <xdr:nvPicPr>
        <xdr:cNvPr id="186" name="SUPREMECOURTLOGO10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200150" y="23764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120</xdr:row>
      <xdr:rowOff>9526</xdr:rowOff>
    </xdr:from>
    <xdr:to>
      <xdr:col>16</xdr:col>
      <xdr:colOff>180976</xdr:colOff>
      <xdr:row>121</xdr:row>
      <xdr:rowOff>46894</xdr:rowOff>
    </xdr:to>
    <xdr:pic>
      <xdr:nvPicPr>
        <xdr:cNvPr id="187" name="TOURLOGO10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53125" y="22364701"/>
          <a:ext cx="428625" cy="23739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104776</xdr:colOff>
      <xdr:row>120</xdr:row>
      <xdr:rowOff>28575</xdr:rowOff>
    </xdr:from>
    <xdr:to>
      <xdr:col>16</xdr:col>
      <xdr:colOff>115380</xdr:colOff>
      <xdr:row>121</xdr:row>
      <xdr:rowOff>28576</xdr:rowOff>
    </xdr:to>
    <xdr:pic>
      <xdr:nvPicPr>
        <xdr:cNvPr id="188" name="BOOKLOGO10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029326" y="22383750"/>
          <a:ext cx="286828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190501</xdr:colOff>
      <xdr:row>142</xdr:row>
      <xdr:rowOff>9526</xdr:rowOff>
    </xdr:from>
    <xdr:to>
      <xdr:col>5</xdr:col>
      <xdr:colOff>38832</xdr:colOff>
      <xdr:row>145</xdr:row>
      <xdr:rowOff>76201</xdr:rowOff>
    </xdr:to>
    <xdr:pic>
      <xdr:nvPicPr>
        <xdr:cNvPr id="197" name="PROFILELOGO11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14426" y="26384251"/>
          <a:ext cx="1477107" cy="6667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228599</xdr:colOff>
      <xdr:row>141</xdr:row>
      <xdr:rowOff>62307</xdr:rowOff>
    </xdr:from>
    <xdr:to>
      <xdr:col>5</xdr:col>
      <xdr:colOff>19050</xdr:colOff>
      <xdr:row>145</xdr:row>
      <xdr:rowOff>62659</xdr:rowOff>
    </xdr:to>
    <xdr:pic>
      <xdr:nvPicPr>
        <xdr:cNvPr id="198" name="HISTORYLOGO11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04949" y="26160807"/>
          <a:ext cx="838201" cy="876652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304800</xdr:colOff>
      <xdr:row>141</xdr:row>
      <xdr:rowOff>152400</xdr:rowOff>
    </xdr:from>
    <xdr:to>
      <xdr:col>4</xdr:col>
      <xdr:colOff>327314</xdr:colOff>
      <xdr:row>145</xdr:row>
      <xdr:rowOff>85725</xdr:rowOff>
    </xdr:to>
    <xdr:pic>
      <xdr:nvPicPr>
        <xdr:cNvPr id="199" name="PIAALOGO11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28725" y="26250900"/>
          <a:ext cx="1251239" cy="8096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257175</xdr:colOff>
      <xdr:row>141</xdr:row>
      <xdr:rowOff>190500</xdr:rowOff>
    </xdr:from>
    <xdr:to>
      <xdr:col>5</xdr:col>
      <xdr:colOff>38099</xdr:colOff>
      <xdr:row>145</xdr:row>
      <xdr:rowOff>47625</xdr:rowOff>
    </xdr:to>
    <xdr:pic>
      <xdr:nvPicPr>
        <xdr:cNvPr id="202" name="BattlewalkLOGO11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181100" y="26289000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342900</xdr:colOff>
      <xdr:row>141</xdr:row>
      <xdr:rowOff>85725</xdr:rowOff>
    </xdr:from>
    <xdr:to>
      <xdr:col>5</xdr:col>
      <xdr:colOff>9524</xdr:colOff>
      <xdr:row>145</xdr:row>
      <xdr:rowOff>114300</xdr:rowOff>
    </xdr:to>
    <xdr:pic>
      <xdr:nvPicPr>
        <xdr:cNvPr id="203" name="CWILOGO11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266825" y="26184225"/>
          <a:ext cx="1295400" cy="90487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133</xdr:row>
      <xdr:rowOff>38100</xdr:rowOff>
    </xdr:from>
    <xdr:to>
      <xdr:col>16</xdr:col>
      <xdr:colOff>161926</xdr:colOff>
      <xdr:row>134</xdr:row>
      <xdr:rowOff>49090</xdr:rowOff>
    </xdr:to>
    <xdr:pic>
      <xdr:nvPicPr>
        <xdr:cNvPr id="207" name="TOURLOGO11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81700" y="24793575"/>
          <a:ext cx="381000" cy="21101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104776</xdr:colOff>
      <xdr:row>133</xdr:row>
      <xdr:rowOff>38101</xdr:rowOff>
    </xdr:from>
    <xdr:to>
      <xdr:col>16</xdr:col>
      <xdr:colOff>133351</xdr:colOff>
      <xdr:row>134</xdr:row>
      <xdr:rowOff>50633</xdr:rowOff>
    </xdr:to>
    <xdr:pic>
      <xdr:nvPicPr>
        <xdr:cNvPr id="208" name="BOOKLOGO11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029326" y="24793576"/>
          <a:ext cx="304799" cy="2125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66677</xdr:colOff>
      <xdr:row>133</xdr:row>
      <xdr:rowOff>38101</xdr:rowOff>
    </xdr:from>
    <xdr:to>
      <xdr:col>16</xdr:col>
      <xdr:colOff>200027</xdr:colOff>
      <xdr:row>134</xdr:row>
      <xdr:rowOff>22953</xdr:rowOff>
    </xdr:to>
    <xdr:pic>
      <xdr:nvPicPr>
        <xdr:cNvPr id="209" name="PROFILELOGO11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91227" y="24793576"/>
          <a:ext cx="409574" cy="184877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123825</xdr:colOff>
      <xdr:row>132</xdr:row>
      <xdr:rowOff>176607</xdr:rowOff>
    </xdr:from>
    <xdr:to>
      <xdr:col>16</xdr:col>
      <xdr:colOff>104776</xdr:colOff>
      <xdr:row>134</xdr:row>
      <xdr:rowOff>64580</xdr:rowOff>
    </xdr:to>
    <xdr:pic>
      <xdr:nvPicPr>
        <xdr:cNvPr id="210" name="HISTORYLOGO11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048375" y="24751107"/>
          <a:ext cx="257175" cy="268973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38101</xdr:colOff>
      <xdr:row>133</xdr:row>
      <xdr:rowOff>19050</xdr:rowOff>
    </xdr:from>
    <xdr:to>
      <xdr:col>16</xdr:col>
      <xdr:colOff>144608</xdr:colOff>
      <xdr:row>134</xdr:row>
      <xdr:rowOff>66675</xdr:rowOff>
    </xdr:to>
    <xdr:pic>
      <xdr:nvPicPr>
        <xdr:cNvPr id="211" name="PIAALOGO11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62651" y="24774525"/>
          <a:ext cx="382731" cy="2476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9525</xdr:colOff>
      <xdr:row>133</xdr:row>
      <xdr:rowOff>38100</xdr:rowOff>
    </xdr:from>
    <xdr:to>
      <xdr:col>16</xdr:col>
      <xdr:colOff>152401</xdr:colOff>
      <xdr:row>134</xdr:row>
      <xdr:rowOff>56121</xdr:rowOff>
    </xdr:to>
    <xdr:pic>
      <xdr:nvPicPr>
        <xdr:cNvPr id="212" name="BattlewalkLOGO11s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34075" y="24793575"/>
          <a:ext cx="419100" cy="21804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133</xdr:row>
      <xdr:rowOff>57151</xdr:rowOff>
    </xdr:from>
    <xdr:to>
      <xdr:col>16</xdr:col>
      <xdr:colOff>67275</xdr:colOff>
      <xdr:row>134</xdr:row>
      <xdr:rowOff>57150</xdr:rowOff>
    </xdr:to>
    <xdr:pic>
      <xdr:nvPicPr>
        <xdr:cNvPr id="213" name="CWILOGO11s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981700" y="24812626"/>
          <a:ext cx="286349" cy="200024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142876</xdr:colOff>
      <xdr:row>154</xdr:row>
      <xdr:rowOff>161925</xdr:rowOff>
    </xdr:from>
    <xdr:to>
      <xdr:col>5</xdr:col>
      <xdr:colOff>117818</xdr:colOff>
      <xdr:row>158</xdr:row>
      <xdr:rowOff>9526</xdr:rowOff>
    </xdr:to>
    <xdr:pic>
      <xdr:nvPicPr>
        <xdr:cNvPr id="217" name="PROFILELOGO12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66801" y="28660725"/>
          <a:ext cx="1603718" cy="723901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142874</xdr:colOff>
      <xdr:row>153</xdr:row>
      <xdr:rowOff>33207</xdr:rowOff>
    </xdr:from>
    <xdr:to>
      <xdr:col>5</xdr:col>
      <xdr:colOff>152400</xdr:colOff>
      <xdr:row>158</xdr:row>
      <xdr:rowOff>62660</xdr:rowOff>
    </xdr:to>
    <xdr:pic>
      <xdr:nvPicPr>
        <xdr:cNvPr id="218" name="HISTORYLOGO12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19224" y="28331982"/>
          <a:ext cx="1057276" cy="1105777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304800</xdr:colOff>
      <xdr:row>154</xdr:row>
      <xdr:rowOff>104775</xdr:rowOff>
    </xdr:from>
    <xdr:to>
      <xdr:col>4</xdr:col>
      <xdr:colOff>342036</xdr:colOff>
      <xdr:row>158</xdr:row>
      <xdr:rowOff>47626</xdr:rowOff>
    </xdr:to>
    <xdr:pic>
      <xdr:nvPicPr>
        <xdr:cNvPr id="219" name="PIAALOGO12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28725" y="28603575"/>
          <a:ext cx="1265961" cy="81915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304800</xdr:colOff>
      <xdr:row>154</xdr:row>
      <xdr:rowOff>47626</xdr:rowOff>
    </xdr:from>
    <xdr:to>
      <xdr:col>5</xdr:col>
      <xdr:colOff>85724</xdr:colOff>
      <xdr:row>157</xdr:row>
      <xdr:rowOff>104776</xdr:rowOff>
    </xdr:to>
    <xdr:pic>
      <xdr:nvPicPr>
        <xdr:cNvPr id="222" name="BattlewalkLOGO12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228725" y="28546426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314325</xdr:colOff>
      <xdr:row>154</xdr:row>
      <xdr:rowOff>9526</xdr:rowOff>
    </xdr:from>
    <xdr:to>
      <xdr:col>4</xdr:col>
      <xdr:colOff>381000</xdr:colOff>
      <xdr:row>158</xdr:row>
      <xdr:rowOff>38101</xdr:rowOff>
    </xdr:to>
    <xdr:pic>
      <xdr:nvPicPr>
        <xdr:cNvPr id="223" name="CWILOGO12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238250" y="28508326"/>
          <a:ext cx="1295400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180975</xdr:colOff>
      <xdr:row>154</xdr:row>
      <xdr:rowOff>6725</xdr:rowOff>
    </xdr:from>
    <xdr:to>
      <xdr:col>5</xdr:col>
      <xdr:colOff>95249</xdr:colOff>
      <xdr:row>158</xdr:row>
      <xdr:rowOff>38101</xdr:rowOff>
    </xdr:to>
    <xdr:pic>
      <xdr:nvPicPr>
        <xdr:cNvPr id="224" name="INSESSIONLOGO12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104900" y="28505525"/>
          <a:ext cx="1543050" cy="907676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154</xdr:row>
      <xdr:rowOff>76201</xdr:rowOff>
    </xdr:from>
    <xdr:to>
      <xdr:col>5</xdr:col>
      <xdr:colOff>85725</xdr:colOff>
      <xdr:row>158</xdr:row>
      <xdr:rowOff>104776</xdr:rowOff>
    </xdr:to>
    <xdr:pic>
      <xdr:nvPicPr>
        <xdr:cNvPr id="225" name="COURTSLOGO12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47800" y="28575001"/>
          <a:ext cx="962025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314325</xdr:colOff>
      <xdr:row>154</xdr:row>
      <xdr:rowOff>15876</xdr:rowOff>
    </xdr:from>
    <xdr:to>
      <xdr:col>5</xdr:col>
      <xdr:colOff>47624</xdr:colOff>
      <xdr:row>158</xdr:row>
      <xdr:rowOff>47626</xdr:rowOff>
    </xdr:to>
    <xdr:pic>
      <xdr:nvPicPr>
        <xdr:cNvPr id="226" name="SUPREMECOURTLOGO12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238250" y="28514676"/>
          <a:ext cx="1362075" cy="90805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146</xdr:row>
      <xdr:rowOff>2</xdr:rowOff>
    </xdr:from>
    <xdr:to>
      <xdr:col>16</xdr:col>
      <xdr:colOff>153723</xdr:colOff>
      <xdr:row>147</xdr:row>
      <xdr:rowOff>38102</xdr:rowOff>
    </xdr:to>
    <xdr:pic>
      <xdr:nvPicPr>
        <xdr:cNvPr id="227" name="TOURLOGO12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24550" y="27155777"/>
          <a:ext cx="429947" cy="23812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57150</xdr:colOff>
      <xdr:row>146</xdr:row>
      <xdr:rowOff>3636</xdr:rowOff>
    </xdr:from>
    <xdr:to>
      <xdr:col>16</xdr:col>
      <xdr:colOff>85726</xdr:colOff>
      <xdr:row>147</xdr:row>
      <xdr:rowOff>16170</xdr:rowOff>
    </xdr:to>
    <xdr:pic>
      <xdr:nvPicPr>
        <xdr:cNvPr id="228" name="BOOKLOGO12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5981700" y="27159411"/>
          <a:ext cx="304800" cy="2125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962026</xdr:colOff>
      <xdr:row>146</xdr:row>
      <xdr:rowOff>19050</xdr:rowOff>
    </xdr:from>
    <xdr:to>
      <xdr:col>17</xdr:col>
      <xdr:colOff>-1</xdr:colOff>
      <xdr:row>147</xdr:row>
      <xdr:rowOff>42599</xdr:rowOff>
    </xdr:to>
    <xdr:pic>
      <xdr:nvPicPr>
        <xdr:cNvPr id="229" name="PROFILELOGO12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15026" y="27174825"/>
          <a:ext cx="495299" cy="223573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123824</xdr:colOff>
      <xdr:row>146</xdr:row>
      <xdr:rowOff>23682</xdr:rowOff>
    </xdr:from>
    <xdr:to>
      <xdr:col>16</xdr:col>
      <xdr:colOff>95251</xdr:colOff>
      <xdr:row>147</xdr:row>
      <xdr:rowOff>82669</xdr:rowOff>
    </xdr:to>
    <xdr:pic>
      <xdr:nvPicPr>
        <xdr:cNvPr id="230" name="HISTORYLOGO12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048374" y="27179457"/>
          <a:ext cx="247651" cy="259011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57151</xdr:colOff>
      <xdr:row>146</xdr:row>
      <xdr:rowOff>9526</xdr:rowOff>
    </xdr:from>
    <xdr:to>
      <xdr:col>16</xdr:col>
      <xdr:colOff>180976</xdr:colOff>
      <xdr:row>147</xdr:row>
      <xdr:rowOff>68357</xdr:rowOff>
    </xdr:to>
    <xdr:pic>
      <xdr:nvPicPr>
        <xdr:cNvPr id="231" name="PIAALOGO12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81701" y="27165301"/>
          <a:ext cx="400049" cy="25885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8292</xdr:colOff>
      <xdr:row>146</xdr:row>
      <xdr:rowOff>28577</xdr:rowOff>
    </xdr:from>
    <xdr:to>
      <xdr:col>16</xdr:col>
      <xdr:colOff>171451</xdr:colOff>
      <xdr:row>147</xdr:row>
      <xdr:rowOff>57151</xdr:rowOff>
    </xdr:to>
    <xdr:pic>
      <xdr:nvPicPr>
        <xdr:cNvPr id="232" name="BattlewalkLOGO12s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32842" y="27184352"/>
          <a:ext cx="439383" cy="228598"/>
        </a:xfrm>
        <a:prstGeom prst="rect">
          <a:avLst/>
        </a:prstGeom>
      </xdr:spPr>
    </xdr:pic>
    <xdr:clientData/>
  </xdr:twoCellAnchor>
  <xdr:twoCellAnchor editAs="oneCell">
    <xdr:from>
      <xdr:col>14</xdr:col>
      <xdr:colOff>76200</xdr:colOff>
      <xdr:row>146</xdr:row>
      <xdr:rowOff>38102</xdr:rowOff>
    </xdr:from>
    <xdr:to>
      <xdr:col>16</xdr:col>
      <xdr:colOff>114301</xdr:colOff>
      <xdr:row>147</xdr:row>
      <xdr:rowOff>57644</xdr:rowOff>
    </xdr:to>
    <xdr:pic>
      <xdr:nvPicPr>
        <xdr:cNvPr id="233" name="CWILOGO12s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000750" y="27193877"/>
          <a:ext cx="314325" cy="219566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146</xdr:row>
      <xdr:rowOff>35300</xdr:rowOff>
    </xdr:from>
    <xdr:to>
      <xdr:col>16</xdr:col>
      <xdr:colOff>200026</xdr:colOff>
      <xdr:row>147</xdr:row>
      <xdr:rowOff>76202</xdr:rowOff>
    </xdr:to>
    <xdr:pic>
      <xdr:nvPicPr>
        <xdr:cNvPr id="234" name="INSESSIONLOGO12s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991225" y="27191075"/>
          <a:ext cx="409575" cy="240926"/>
        </a:xfrm>
        <a:prstGeom prst="rect">
          <a:avLst/>
        </a:prstGeom>
      </xdr:spPr>
    </xdr:pic>
    <xdr:clientData/>
  </xdr:twoCellAnchor>
  <xdr:twoCellAnchor editAs="oneCell">
    <xdr:from>
      <xdr:col>14</xdr:col>
      <xdr:colOff>123826</xdr:colOff>
      <xdr:row>146</xdr:row>
      <xdr:rowOff>38101</xdr:rowOff>
    </xdr:from>
    <xdr:to>
      <xdr:col>16</xdr:col>
      <xdr:colOff>152402</xdr:colOff>
      <xdr:row>147</xdr:row>
      <xdr:rowOff>124770</xdr:rowOff>
    </xdr:to>
    <xdr:pic>
      <xdr:nvPicPr>
        <xdr:cNvPr id="235" name="COURTSLOGO12s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048376" y="27193876"/>
          <a:ext cx="304800" cy="286693"/>
        </a:xfrm>
        <a:prstGeom prst="rect">
          <a:avLst/>
        </a:prstGeom>
      </xdr:spPr>
    </xdr:pic>
    <xdr:clientData/>
  </xdr:twoCellAnchor>
  <xdr:twoCellAnchor editAs="oneCell">
    <xdr:from>
      <xdr:col>14</xdr:col>
      <xdr:colOff>95251</xdr:colOff>
      <xdr:row>146</xdr:row>
      <xdr:rowOff>53976</xdr:rowOff>
    </xdr:from>
    <xdr:to>
      <xdr:col>16</xdr:col>
      <xdr:colOff>161927</xdr:colOff>
      <xdr:row>147</xdr:row>
      <xdr:rowOff>82552</xdr:rowOff>
    </xdr:to>
    <xdr:pic>
      <xdr:nvPicPr>
        <xdr:cNvPr id="236" name="SUPREMECOURTLOGO12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019801" y="27209751"/>
          <a:ext cx="342900" cy="228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104776</xdr:colOff>
      <xdr:row>13</xdr:row>
      <xdr:rowOff>13580</xdr:rowOff>
    </xdr:from>
    <xdr:to>
      <xdr:col>16</xdr:col>
      <xdr:colOff>114302</xdr:colOff>
      <xdr:row>14</xdr:row>
      <xdr:rowOff>82330</xdr:rowOff>
    </xdr:to>
    <xdr:pic>
      <xdr:nvPicPr>
        <xdr:cNvPr id="247" name="COURTSLOGO1s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029326" y="2480555"/>
          <a:ext cx="285750" cy="268775"/>
        </a:xfrm>
        <a:prstGeom prst="rect">
          <a:avLst/>
        </a:prstGeom>
      </xdr:spPr>
    </xdr:pic>
    <xdr:clientData/>
  </xdr:twoCellAnchor>
  <xdr:twoCellAnchor editAs="oneCell">
    <xdr:from>
      <xdr:col>14</xdr:col>
      <xdr:colOff>43815</xdr:colOff>
      <xdr:row>13</xdr:row>
      <xdr:rowOff>28576</xdr:rowOff>
    </xdr:from>
    <xdr:to>
      <xdr:col>16</xdr:col>
      <xdr:colOff>123825</xdr:colOff>
      <xdr:row>14</xdr:row>
      <xdr:rowOff>38100</xdr:rowOff>
    </xdr:to>
    <xdr:pic>
      <xdr:nvPicPr>
        <xdr:cNvPr id="248" name="INSESSIONLOGO1s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968365" y="2495551"/>
          <a:ext cx="356234" cy="209549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13</xdr:row>
      <xdr:rowOff>47626</xdr:rowOff>
    </xdr:from>
    <xdr:to>
      <xdr:col>16</xdr:col>
      <xdr:colOff>142876</xdr:colOff>
      <xdr:row>14</xdr:row>
      <xdr:rowOff>107087</xdr:rowOff>
    </xdr:to>
    <xdr:pic>
      <xdr:nvPicPr>
        <xdr:cNvPr id="249" name="CWILOGO1s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972175" y="2514601"/>
          <a:ext cx="371475" cy="2594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13</xdr:row>
      <xdr:rowOff>38101</xdr:rowOff>
    </xdr:from>
    <xdr:to>
      <xdr:col>16</xdr:col>
      <xdr:colOff>190501</xdr:colOff>
      <xdr:row>14</xdr:row>
      <xdr:rowOff>80899</xdr:rowOff>
    </xdr:to>
    <xdr:pic>
      <xdr:nvPicPr>
        <xdr:cNvPr id="250" name="BattlewalkLOGO1s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24550" y="2505076"/>
          <a:ext cx="466725" cy="242823"/>
        </a:xfrm>
        <a:prstGeom prst="rect">
          <a:avLst/>
        </a:prstGeom>
      </xdr:spPr>
    </xdr:pic>
    <xdr:clientData/>
  </xdr:twoCellAnchor>
  <xdr:twoCellAnchor editAs="oneCell">
    <xdr:from>
      <xdr:col>14</xdr:col>
      <xdr:colOff>38099</xdr:colOff>
      <xdr:row>13</xdr:row>
      <xdr:rowOff>28575</xdr:rowOff>
    </xdr:from>
    <xdr:to>
      <xdr:col>16</xdr:col>
      <xdr:colOff>180976</xdr:colOff>
      <xdr:row>14</xdr:row>
      <xdr:rowOff>99733</xdr:rowOff>
    </xdr:to>
    <xdr:pic>
      <xdr:nvPicPr>
        <xdr:cNvPr id="251" name="PIAALOGO1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62649" y="2495550"/>
          <a:ext cx="419101" cy="27118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72838</xdr:colOff>
      <xdr:row>12</xdr:row>
      <xdr:rowOff>177134</xdr:rowOff>
    </xdr:from>
    <xdr:to>
      <xdr:col>16</xdr:col>
      <xdr:colOff>101416</xdr:colOff>
      <xdr:row>14</xdr:row>
      <xdr:rowOff>116599</xdr:rowOff>
    </xdr:to>
    <xdr:pic>
      <xdr:nvPicPr>
        <xdr:cNvPr id="252" name="HISTORYLOGO1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124014" y="2485546"/>
          <a:ext cx="308725" cy="320465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9526</xdr:colOff>
      <xdr:row>13</xdr:row>
      <xdr:rowOff>76200</xdr:rowOff>
    </xdr:from>
    <xdr:to>
      <xdr:col>16</xdr:col>
      <xdr:colOff>180976</xdr:colOff>
      <xdr:row>14</xdr:row>
      <xdr:rowOff>78250</xdr:rowOff>
    </xdr:to>
    <xdr:pic>
      <xdr:nvPicPr>
        <xdr:cNvPr id="253" name="PROFILELOGO1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34076" y="2543175"/>
          <a:ext cx="447674" cy="202075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57149</xdr:colOff>
      <xdr:row>13</xdr:row>
      <xdr:rowOff>57150</xdr:rowOff>
    </xdr:from>
    <xdr:to>
      <xdr:col>16</xdr:col>
      <xdr:colOff>200026</xdr:colOff>
      <xdr:row>14</xdr:row>
      <xdr:rowOff>89242</xdr:rowOff>
    </xdr:to>
    <xdr:pic>
      <xdr:nvPicPr>
        <xdr:cNvPr id="254" name="TOURLOGO1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81699" y="2524125"/>
          <a:ext cx="419101" cy="23211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57150</xdr:colOff>
      <xdr:row>13</xdr:row>
      <xdr:rowOff>16668</xdr:rowOff>
    </xdr:from>
    <xdr:to>
      <xdr:col>16</xdr:col>
      <xdr:colOff>190502</xdr:colOff>
      <xdr:row>14</xdr:row>
      <xdr:rowOff>102268</xdr:rowOff>
    </xdr:to>
    <xdr:pic>
      <xdr:nvPicPr>
        <xdr:cNvPr id="255" name="BOOKLOGO1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5981700" y="2483643"/>
          <a:ext cx="409576" cy="28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47625</xdr:colOff>
      <xdr:row>13</xdr:row>
      <xdr:rowOff>28576</xdr:rowOff>
    </xdr:from>
    <xdr:to>
      <xdr:col>16</xdr:col>
      <xdr:colOff>180976</xdr:colOff>
      <xdr:row>14</xdr:row>
      <xdr:rowOff>101601</xdr:rowOff>
    </xdr:to>
    <xdr:pic>
      <xdr:nvPicPr>
        <xdr:cNvPr id="256" name="SUPREMECOURTLOGO1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972175" y="2495551"/>
          <a:ext cx="409575" cy="27305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26</xdr:row>
      <xdr:rowOff>19050</xdr:rowOff>
    </xdr:from>
    <xdr:to>
      <xdr:col>16</xdr:col>
      <xdr:colOff>152401</xdr:colOff>
      <xdr:row>27</xdr:row>
      <xdr:rowOff>85724</xdr:rowOff>
    </xdr:to>
    <xdr:pic>
      <xdr:nvPicPr>
        <xdr:cNvPr id="257" name="SUPREMECOURTLOGO3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953125" y="4886325"/>
          <a:ext cx="400050" cy="2667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66676</xdr:colOff>
      <xdr:row>26</xdr:row>
      <xdr:rowOff>5187</xdr:rowOff>
    </xdr:from>
    <xdr:to>
      <xdr:col>16</xdr:col>
      <xdr:colOff>114302</xdr:colOff>
      <xdr:row>27</xdr:row>
      <xdr:rowOff>109772</xdr:rowOff>
    </xdr:to>
    <xdr:pic>
      <xdr:nvPicPr>
        <xdr:cNvPr id="259" name="COURTSLOGO3s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991226" y="4872462"/>
          <a:ext cx="323850" cy="304611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25</xdr:row>
      <xdr:rowOff>171450</xdr:rowOff>
    </xdr:from>
    <xdr:to>
      <xdr:col>16</xdr:col>
      <xdr:colOff>173356</xdr:colOff>
      <xdr:row>27</xdr:row>
      <xdr:rowOff>15688</xdr:rowOff>
    </xdr:to>
    <xdr:pic>
      <xdr:nvPicPr>
        <xdr:cNvPr id="260" name="INSESSIONLOGO3s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953125" y="4857750"/>
          <a:ext cx="421005" cy="247650"/>
        </a:xfrm>
        <a:prstGeom prst="rect">
          <a:avLst/>
        </a:prstGeom>
      </xdr:spPr>
    </xdr:pic>
    <xdr:clientData/>
  </xdr:twoCellAnchor>
  <xdr:twoCellAnchor editAs="oneCell">
    <xdr:from>
      <xdr:col>14</xdr:col>
      <xdr:colOff>19050</xdr:colOff>
      <xdr:row>26</xdr:row>
      <xdr:rowOff>19051</xdr:rowOff>
    </xdr:from>
    <xdr:to>
      <xdr:col>17</xdr:col>
      <xdr:colOff>1000</xdr:colOff>
      <xdr:row>27</xdr:row>
      <xdr:rowOff>152399</xdr:rowOff>
    </xdr:to>
    <xdr:pic>
      <xdr:nvPicPr>
        <xdr:cNvPr id="261" name="CWILOGO3s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943600" y="4886326"/>
          <a:ext cx="477250" cy="333374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952500</xdr:colOff>
      <xdr:row>26</xdr:row>
      <xdr:rowOff>19051</xdr:rowOff>
    </xdr:from>
    <xdr:to>
      <xdr:col>17</xdr:col>
      <xdr:colOff>9524</xdr:colOff>
      <xdr:row>27</xdr:row>
      <xdr:rowOff>91582</xdr:rowOff>
    </xdr:to>
    <xdr:pic>
      <xdr:nvPicPr>
        <xdr:cNvPr id="262" name="BattlewalkLOGO3s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05500" y="4886326"/>
          <a:ext cx="523875" cy="272557"/>
        </a:xfrm>
        <a:prstGeom prst="rect">
          <a:avLst/>
        </a:prstGeom>
      </xdr:spPr>
    </xdr:pic>
    <xdr:clientData/>
  </xdr:twoCellAnchor>
  <xdr:twoCellAnchor editAs="oneCell">
    <xdr:from>
      <xdr:col>14</xdr:col>
      <xdr:colOff>19050</xdr:colOff>
      <xdr:row>26</xdr:row>
      <xdr:rowOff>36980</xdr:rowOff>
    </xdr:from>
    <xdr:to>
      <xdr:col>17</xdr:col>
      <xdr:colOff>9525</xdr:colOff>
      <xdr:row>27</xdr:row>
      <xdr:rowOff>151279</xdr:rowOff>
    </xdr:to>
    <xdr:pic>
      <xdr:nvPicPr>
        <xdr:cNvPr id="263" name="PIAALOGO3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43600" y="4904255"/>
          <a:ext cx="485775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66674</xdr:colOff>
      <xdr:row>26</xdr:row>
      <xdr:rowOff>19051</xdr:rowOff>
    </xdr:from>
    <xdr:to>
      <xdr:col>16</xdr:col>
      <xdr:colOff>190502</xdr:colOff>
      <xdr:row>28</xdr:row>
      <xdr:rowOff>46929</xdr:rowOff>
    </xdr:to>
    <xdr:pic>
      <xdr:nvPicPr>
        <xdr:cNvPr id="264" name="HISTORYLOGO3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991224" y="4886326"/>
          <a:ext cx="400052" cy="418404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47626</xdr:colOff>
      <xdr:row>26</xdr:row>
      <xdr:rowOff>104777</xdr:rowOff>
    </xdr:from>
    <xdr:to>
      <xdr:col>17</xdr:col>
      <xdr:colOff>0</xdr:colOff>
      <xdr:row>27</xdr:row>
      <xdr:rowOff>102527</xdr:rowOff>
    </xdr:to>
    <xdr:pic>
      <xdr:nvPicPr>
        <xdr:cNvPr id="265" name="PROFILELOGO3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72176" y="4972052"/>
          <a:ext cx="438149" cy="197776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28574</xdr:colOff>
      <xdr:row>26</xdr:row>
      <xdr:rowOff>95250</xdr:rowOff>
    </xdr:from>
    <xdr:to>
      <xdr:col>16</xdr:col>
      <xdr:colOff>180976</xdr:colOff>
      <xdr:row>27</xdr:row>
      <xdr:rowOff>132617</xdr:rowOff>
    </xdr:to>
    <xdr:pic>
      <xdr:nvPicPr>
        <xdr:cNvPr id="266" name="TOURLOGO3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53124" y="4962525"/>
          <a:ext cx="428626" cy="23739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38100</xdr:colOff>
      <xdr:row>26</xdr:row>
      <xdr:rowOff>50759</xdr:rowOff>
    </xdr:from>
    <xdr:to>
      <xdr:col>16</xdr:col>
      <xdr:colOff>167138</xdr:colOff>
      <xdr:row>27</xdr:row>
      <xdr:rowOff>133349</xdr:rowOff>
    </xdr:to>
    <xdr:pic>
      <xdr:nvPicPr>
        <xdr:cNvPr id="267" name="BOOKLOGO3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5819775" y="4918034"/>
          <a:ext cx="405262" cy="2826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9525</xdr:colOff>
      <xdr:row>67</xdr:row>
      <xdr:rowOff>9525</xdr:rowOff>
    </xdr:from>
    <xdr:to>
      <xdr:col>17</xdr:col>
      <xdr:colOff>0</xdr:colOff>
      <xdr:row>68</xdr:row>
      <xdr:rowOff>133351</xdr:rowOff>
    </xdr:to>
    <xdr:pic>
      <xdr:nvPicPr>
        <xdr:cNvPr id="268" name="SUPREMECOURTLOGO6s" descr="Supreme Court.jp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934075" y="12515850"/>
          <a:ext cx="485775" cy="32385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66676</xdr:colOff>
      <xdr:row>67</xdr:row>
      <xdr:rowOff>19051</xdr:rowOff>
    </xdr:from>
    <xdr:to>
      <xdr:col>16</xdr:col>
      <xdr:colOff>133352</xdr:colOff>
      <xdr:row>68</xdr:row>
      <xdr:rowOff>141557</xdr:rowOff>
    </xdr:to>
    <xdr:pic>
      <xdr:nvPicPr>
        <xdr:cNvPr id="269" name="COURTSLOGO6s" descr="Courts.jp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991226" y="12525376"/>
          <a:ext cx="342900" cy="322530"/>
        </a:xfrm>
        <a:prstGeom prst="rect">
          <a:avLst/>
        </a:prstGeom>
      </xdr:spPr>
    </xdr:pic>
    <xdr:clientData/>
  </xdr:twoCellAnchor>
  <xdr:twoCellAnchor editAs="oneCell">
    <xdr:from>
      <xdr:col>13</xdr:col>
      <xdr:colOff>942977</xdr:colOff>
      <xdr:row>67</xdr:row>
      <xdr:rowOff>28575</xdr:rowOff>
    </xdr:from>
    <xdr:to>
      <xdr:col>17</xdr:col>
      <xdr:colOff>3811</xdr:colOff>
      <xdr:row>68</xdr:row>
      <xdr:rowOff>133351</xdr:rowOff>
    </xdr:to>
    <xdr:pic>
      <xdr:nvPicPr>
        <xdr:cNvPr id="270" name="INSESSIONLOGO6s" descr="In Session.jp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895977" y="12534900"/>
          <a:ext cx="518160" cy="304800"/>
        </a:xfrm>
        <a:prstGeom prst="rect">
          <a:avLst/>
        </a:prstGeom>
      </xdr:spPr>
    </xdr:pic>
    <xdr:clientData/>
  </xdr:twoCellAnchor>
  <xdr:twoCellAnchor editAs="oneCell">
    <xdr:from>
      <xdr:col>13</xdr:col>
      <xdr:colOff>923925</xdr:colOff>
      <xdr:row>67</xdr:row>
      <xdr:rowOff>66676</xdr:rowOff>
    </xdr:from>
    <xdr:to>
      <xdr:col>17</xdr:col>
      <xdr:colOff>28574</xdr:colOff>
      <xdr:row>68</xdr:row>
      <xdr:rowOff>163986</xdr:rowOff>
    </xdr:to>
    <xdr:pic>
      <xdr:nvPicPr>
        <xdr:cNvPr id="271" name="BattlewalkLOGO6s" descr="BOG.jp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876925" y="12573001"/>
          <a:ext cx="571500" cy="297334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67</xdr:row>
      <xdr:rowOff>76201</xdr:rowOff>
    </xdr:from>
    <xdr:to>
      <xdr:col>16</xdr:col>
      <xdr:colOff>200026</xdr:colOff>
      <xdr:row>68</xdr:row>
      <xdr:rowOff>153523</xdr:rowOff>
    </xdr:to>
    <xdr:pic>
      <xdr:nvPicPr>
        <xdr:cNvPr id="272" name="PIAALOGO6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72175" y="12582526"/>
          <a:ext cx="428625" cy="277346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104774</xdr:colOff>
      <xdr:row>67</xdr:row>
      <xdr:rowOff>52256</xdr:rowOff>
    </xdr:from>
    <xdr:to>
      <xdr:col>16</xdr:col>
      <xdr:colOff>161926</xdr:colOff>
      <xdr:row>69</xdr:row>
      <xdr:rowOff>876</xdr:rowOff>
    </xdr:to>
    <xdr:pic>
      <xdr:nvPicPr>
        <xdr:cNvPr id="273" name="HISTORYLOGO6s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029324" y="12558581"/>
          <a:ext cx="333376" cy="348669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57151</xdr:colOff>
      <xdr:row>67</xdr:row>
      <xdr:rowOff>95251</xdr:rowOff>
    </xdr:from>
    <xdr:to>
      <xdr:col>16</xdr:col>
      <xdr:colOff>171451</xdr:colOff>
      <xdr:row>68</xdr:row>
      <xdr:rowOff>71505</xdr:rowOff>
    </xdr:to>
    <xdr:pic>
      <xdr:nvPicPr>
        <xdr:cNvPr id="274" name="PROFILELOGO6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81701" y="12601576"/>
          <a:ext cx="390524" cy="176278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57150</xdr:colOff>
      <xdr:row>67</xdr:row>
      <xdr:rowOff>66676</xdr:rowOff>
    </xdr:from>
    <xdr:to>
      <xdr:col>16</xdr:col>
      <xdr:colOff>190502</xdr:colOff>
      <xdr:row>68</xdr:row>
      <xdr:rowOff>93494</xdr:rowOff>
    </xdr:to>
    <xdr:pic>
      <xdr:nvPicPr>
        <xdr:cNvPr id="275" name="TOURLOGO6s" hidden="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981700" y="12573001"/>
          <a:ext cx="409576" cy="22684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43143</xdr:colOff>
      <xdr:row>67</xdr:row>
      <xdr:rowOff>29696</xdr:rowOff>
    </xdr:from>
    <xdr:to>
      <xdr:col>17</xdr:col>
      <xdr:colOff>1</xdr:colOff>
      <xdr:row>68</xdr:row>
      <xdr:rowOff>150190</xdr:rowOff>
    </xdr:to>
    <xdr:pic>
      <xdr:nvPicPr>
        <xdr:cNvPr id="276" name="BOOKLOGO6s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094319" y="12647520"/>
          <a:ext cx="461123" cy="3221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76200</xdr:colOff>
      <xdr:row>67</xdr:row>
      <xdr:rowOff>133351</xdr:rowOff>
    </xdr:from>
    <xdr:to>
      <xdr:col>16</xdr:col>
      <xdr:colOff>95251</xdr:colOff>
      <xdr:row>68</xdr:row>
      <xdr:rowOff>139586</xdr:rowOff>
    </xdr:to>
    <xdr:pic>
      <xdr:nvPicPr>
        <xdr:cNvPr id="277" name="CWILOGO6s" descr="CWI.jp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000750" y="12639676"/>
          <a:ext cx="295275" cy="2062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</xdr:colOff>
      <xdr:row>3</xdr:row>
      <xdr:rowOff>142875</xdr:rowOff>
    </xdr:from>
    <xdr:to>
      <xdr:col>3</xdr:col>
      <xdr:colOff>593188</xdr:colOff>
      <xdr:row>3</xdr:row>
      <xdr:rowOff>685800</xdr:rowOff>
    </xdr:to>
    <xdr:pic>
      <xdr:nvPicPr>
        <xdr:cNvPr id="3" name="PROFILELOGO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24101" y="1666875"/>
          <a:ext cx="1202787" cy="5429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285749</xdr:colOff>
      <xdr:row>4</xdr:row>
      <xdr:rowOff>19050</xdr:rowOff>
    </xdr:from>
    <xdr:to>
      <xdr:col>3</xdr:col>
      <xdr:colOff>419100</xdr:colOff>
      <xdr:row>5</xdr:row>
      <xdr:rowOff>5508</xdr:rowOff>
    </xdr:to>
    <xdr:pic>
      <xdr:nvPicPr>
        <xdr:cNvPr id="4" name="HISTORYLOGO1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09849" y="2247900"/>
          <a:ext cx="742951" cy="777033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66675</xdr:colOff>
      <xdr:row>5</xdr:row>
      <xdr:rowOff>76200</xdr:rowOff>
    </xdr:from>
    <xdr:to>
      <xdr:col>3</xdr:col>
      <xdr:colOff>590550</xdr:colOff>
      <xdr:row>6</xdr:row>
      <xdr:rowOff>57150</xdr:rowOff>
    </xdr:to>
    <xdr:pic>
      <xdr:nvPicPr>
        <xdr:cNvPr id="5" name="PIAALOGO1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390775" y="3095625"/>
          <a:ext cx="1133475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152400</xdr:colOff>
      <xdr:row>2</xdr:row>
      <xdr:rowOff>60910</xdr:rowOff>
    </xdr:from>
    <xdr:to>
      <xdr:col>3</xdr:col>
      <xdr:colOff>428625</xdr:colOff>
      <xdr:row>3</xdr:row>
      <xdr:rowOff>30956</xdr:rowOff>
    </xdr:to>
    <xdr:pic>
      <xdr:nvPicPr>
        <xdr:cNvPr id="6" name="BOOKLOGO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2476500" y="937210"/>
          <a:ext cx="885825" cy="6177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76200</xdr:colOff>
      <xdr:row>0</xdr:row>
      <xdr:rowOff>152400</xdr:rowOff>
    </xdr:from>
    <xdr:to>
      <xdr:col>4</xdr:col>
      <xdr:colOff>228600</xdr:colOff>
      <xdr:row>2</xdr:row>
      <xdr:rowOff>35755</xdr:rowOff>
    </xdr:to>
    <xdr:pic>
      <xdr:nvPicPr>
        <xdr:cNvPr id="7" name="TOURLOGO1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2400300" y="152400"/>
          <a:ext cx="1371600" cy="7596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1209675</xdr:colOff>
      <xdr:row>6</xdr:row>
      <xdr:rowOff>171450</xdr:rowOff>
    </xdr:from>
    <xdr:to>
      <xdr:col>4</xdr:col>
      <xdr:colOff>171450</xdr:colOff>
      <xdr:row>8</xdr:row>
      <xdr:rowOff>85725</xdr:rowOff>
    </xdr:to>
    <xdr:pic>
      <xdr:nvPicPr>
        <xdr:cNvPr id="8" name="BattlewalkLOGO12" descr="BOG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305050" y="3943350"/>
          <a:ext cx="1409700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1209675</xdr:colOff>
      <xdr:row>8</xdr:row>
      <xdr:rowOff>133350</xdr:rowOff>
    </xdr:from>
    <xdr:to>
      <xdr:col>4</xdr:col>
      <xdr:colOff>57150</xdr:colOff>
      <xdr:row>13</xdr:row>
      <xdr:rowOff>85725</xdr:rowOff>
    </xdr:to>
    <xdr:pic>
      <xdr:nvPicPr>
        <xdr:cNvPr id="9" name="CWILOGO12" descr="CWI.jpg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305050" y="4724400"/>
          <a:ext cx="1295400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1076325</xdr:colOff>
      <xdr:row>13</xdr:row>
      <xdr:rowOff>152400</xdr:rowOff>
    </xdr:from>
    <xdr:to>
      <xdr:col>4</xdr:col>
      <xdr:colOff>85725</xdr:colOff>
      <xdr:row>18</xdr:row>
      <xdr:rowOff>57150</xdr:rowOff>
    </xdr:to>
    <xdr:pic>
      <xdr:nvPicPr>
        <xdr:cNvPr id="10" name="INSESSIONLOGO12" descr="In Session.jpg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171700" y="5695950"/>
          <a:ext cx="1457325" cy="85725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9525</xdr:rowOff>
    </xdr:from>
    <xdr:to>
      <xdr:col>3</xdr:col>
      <xdr:colOff>381000</xdr:colOff>
      <xdr:row>22</xdr:row>
      <xdr:rowOff>152400</xdr:rowOff>
    </xdr:to>
    <xdr:pic>
      <xdr:nvPicPr>
        <xdr:cNvPr id="11" name="COURTSLOGO12" descr="Courts.jpg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352675" y="6505575"/>
          <a:ext cx="962025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1219200</xdr:colOff>
      <xdr:row>22</xdr:row>
      <xdr:rowOff>180975</xdr:rowOff>
    </xdr:from>
    <xdr:to>
      <xdr:col>4</xdr:col>
      <xdr:colOff>0</xdr:colOff>
      <xdr:row>27</xdr:row>
      <xdr:rowOff>47625</xdr:rowOff>
    </xdr:to>
    <xdr:pic>
      <xdr:nvPicPr>
        <xdr:cNvPr id="12" name="SUPREMECOURTLOGO12" descr="Supreme Court.jpg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314575" y="7439025"/>
          <a:ext cx="1228725" cy="819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28"/>
  <sheetViews>
    <sheetView tabSelected="1" workbookViewId="0">
      <selection activeCell="A2" sqref="A2"/>
    </sheetView>
  </sheetViews>
  <sheetFormatPr defaultRowHeight="15"/>
  <cols>
    <col min="1" max="1" width="25" customWidth="1"/>
    <col min="2" max="2" width="35.140625" customWidth="1"/>
    <col min="3" max="3" width="12.42578125" customWidth="1"/>
    <col min="7" max="7" width="13.7109375" customWidth="1"/>
    <col min="8" max="8" width="5.28515625" customWidth="1"/>
    <col min="9" max="9" width="5.42578125" customWidth="1"/>
    <col min="12" max="12" width="11.5703125" customWidth="1"/>
    <col min="13" max="13" width="15.85546875" customWidth="1"/>
    <col min="14" max="14" width="9.140625" hidden="1" customWidth="1"/>
    <col min="15" max="15" width="42.7109375" customWidth="1"/>
  </cols>
  <sheetData>
    <row r="1" spans="1:15">
      <c r="A1" s="3" t="s">
        <v>2</v>
      </c>
      <c r="B1" s="3" t="s">
        <v>3</v>
      </c>
      <c r="C1" s="3" t="s">
        <v>4</v>
      </c>
      <c r="D1" s="4" t="s">
        <v>5</v>
      </c>
      <c r="E1" s="5" t="s">
        <v>6</v>
      </c>
      <c r="F1" s="3" t="s">
        <v>7</v>
      </c>
      <c r="G1" s="3" t="s">
        <v>8</v>
      </c>
      <c r="H1" s="3" t="s">
        <v>9</v>
      </c>
      <c r="I1" s="3" t="s">
        <v>10</v>
      </c>
      <c r="J1" s="3" t="s">
        <v>11</v>
      </c>
      <c r="K1" s="3" t="s">
        <v>12</v>
      </c>
      <c r="L1" s="3" t="s">
        <v>13</v>
      </c>
      <c r="M1" s="3" t="s">
        <v>1</v>
      </c>
      <c r="N1" s="3" t="s">
        <v>14</v>
      </c>
      <c r="O1" s="3"/>
    </row>
    <row r="2" spans="1:15">
      <c r="C2" s="19"/>
      <c r="D2" s="1"/>
      <c r="E2" s="2"/>
      <c r="L2" t="s">
        <v>0</v>
      </c>
      <c r="M2" t="s">
        <v>0</v>
      </c>
      <c r="O2" s="2"/>
    </row>
    <row r="3" spans="1:15">
      <c r="C3" s="19"/>
      <c r="D3" s="1"/>
      <c r="E3" s="2"/>
      <c r="L3" t="s">
        <v>0</v>
      </c>
      <c r="M3" t="s">
        <v>0</v>
      </c>
      <c r="O3" s="2"/>
    </row>
    <row r="4" spans="1:15">
      <c r="C4" s="19"/>
      <c r="D4" s="1"/>
      <c r="E4" s="2"/>
      <c r="L4" t="s">
        <v>0</v>
      </c>
      <c r="M4" t="s">
        <v>0</v>
      </c>
      <c r="O4" s="2"/>
    </row>
    <row r="5" spans="1:15">
      <c r="C5" s="19"/>
      <c r="D5" s="1"/>
      <c r="E5" s="2"/>
      <c r="L5" t="s">
        <v>0</v>
      </c>
      <c r="M5" t="s">
        <v>0</v>
      </c>
      <c r="O5" s="2"/>
    </row>
    <row r="6" spans="1:15">
      <c r="C6" s="19"/>
      <c r="D6" s="1"/>
      <c r="E6" s="2"/>
      <c r="L6" t="s">
        <v>0</v>
      </c>
      <c r="M6" t="s">
        <v>0</v>
      </c>
      <c r="O6" s="2"/>
    </row>
    <row r="7" spans="1:15">
      <c r="C7" s="19"/>
      <c r="D7" s="1"/>
      <c r="E7" s="2"/>
      <c r="L7" t="s">
        <v>0</v>
      </c>
      <c r="M7" t="s">
        <v>0</v>
      </c>
      <c r="O7" s="2"/>
    </row>
    <row r="8" spans="1:15">
      <c r="C8" s="19"/>
      <c r="D8" s="1"/>
      <c r="E8" s="2"/>
      <c r="L8" t="s">
        <v>0</v>
      </c>
      <c r="M8" t="s">
        <v>0</v>
      </c>
      <c r="O8" s="2"/>
    </row>
    <row r="9" spans="1:15">
      <c r="C9" s="19"/>
      <c r="D9" s="1"/>
      <c r="E9" s="2"/>
      <c r="L9" t="s">
        <v>0</v>
      </c>
      <c r="M9" t="s">
        <v>0</v>
      </c>
      <c r="O9" s="2"/>
    </row>
    <row r="10" spans="1:15">
      <c r="C10" s="19"/>
      <c r="D10" s="1"/>
      <c r="E10" s="2"/>
      <c r="L10" t="s">
        <v>0</v>
      </c>
      <c r="M10" t="s">
        <v>0</v>
      </c>
      <c r="O10" s="2"/>
    </row>
    <row r="11" spans="1:15">
      <c r="C11" s="19"/>
      <c r="D11" s="1"/>
      <c r="E11" s="2"/>
      <c r="L11" t="s">
        <v>0</v>
      </c>
      <c r="M11" t="s">
        <v>0</v>
      </c>
      <c r="O11" s="2"/>
    </row>
    <row r="12" spans="1:15">
      <c r="C12" s="19"/>
      <c r="D12" s="1"/>
      <c r="E12" s="2"/>
      <c r="L12" t="s">
        <v>0</v>
      </c>
      <c r="M12" t="s">
        <v>0</v>
      </c>
      <c r="O12" s="2"/>
    </row>
    <row r="13" spans="1:15">
      <c r="C13" s="19"/>
      <c r="D13" s="1"/>
      <c r="E13" s="2"/>
      <c r="L13" t="s">
        <v>0</v>
      </c>
      <c r="M13" t="s">
        <v>0</v>
      </c>
      <c r="O13" s="2"/>
    </row>
    <row r="14" spans="1:15">
      <c r="C14" s="19"/>
      <c r="D14" s="1"/>
      <c r="E14" s="2"/>
      <c r="L14" t="s">
        <v>0</v>
      </c>
      <c r="M14" t="s">
        <v>0</v>
      </c>
      <c r="O14" s="2"/>
    </row>
    <row r="15" spans="1:15">
      <c r="D15" s="1"/>
      <c r="E15" s="2"/>
      <c r="O15" s="2"/>
    </row>
    <row r="16" spans="1:15">
      <c r="D16" s="1"/>
      <c r="E16" s="2"/>
    </row>
    <row r="17" spans="4:5">
      <c r="D17" s="1"/>
      <c r="E17" s="2"/>
    </row>
    <row r="18" spans="4:5">
      <c r="D18" s="1"/>
      <c r="E18" s="2"/>
    </row>
    <row r="19" spans="4:5">
      <c r="D19" s="1"/>
      <c r="E19" s="2"/>
    </row>
    <row r="20" spans="4:5">
      <c r="D20" s="1"/>
      <c r="E20" s="2"/>
    </row>
    <row r="21" spans="4:5">
      <c r="D21" s="1"/>
      <c r="E21" s="2"/>
    </row>
    <row r="22" spans="4:5">
      <c r="D22" s="1"/>
      <c r="E22" s="2"/>
    </row>
    <row r="23" spans="4:5">
      <c r="D23" s="1"/>
      <c r="E23" s="2"/>
    </row>
    <row r="24" spans="4:5">
      <c r="D24" s="1"/>
      <c r="E24" s="2"/>
    </row>
    <row r="25" spans="4:5">
      <c r="D25" s="1"/>
      <c r="E25" s="2"/>
    </row>
    <row r="26" spans="4:5">
      <c r="D26" s="1"/>
      <c r="E26" s="2"/>
    </row>
    <row r="27" spans="4:5">
      <c r="D27" s="1"/>
      <c r="E27" s="2"/>
    </row>
    <row r="28" spans="4:5">
      <c r="D28" s="1"/>
      <c r="E28" s="2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Q159"/>
  <sheetViews>
    <sheetView view="pageLayout" zoomScale="85" zoomScaleNormal="100" zoomScalePageLayoutView="85" workbookViewId="0">
      <selection activeCell="M106" sqref="M106:N106"/>
    </sheetView>
  </sheetViews>
  <sheetFormatPr defaultRowHeight="15"/>
  <cols>
    <col min="1" max="1" width="12.140625" customWidth="1"/>
    <col min="2" max="2" width="8.140625" customWidth="1"/>
    <col min="3" max="3" width="4.85546875" customWidth="1"/>
    <col min="4" max="4" width="4.140625" customWidth="1"/>
    <col min="5" max="5" width="5.5703125" customWidth="1"/>
    <col min="6" max="6" width="5.7109375" customWidth="1"/>
    <col min="7" max="7" width="3.7109375" customWidth="1"/>
    <col min="8" max="8" width="4" customWidth="1"/>
    <col min="9" max="9" width="3.85546875" customWidth="1"/>
    <col min="10" max="10" width="5.28515625" customWidth="1"/>
    <col min="11" max="11" width="4.28515625" customWidth="1"/>
    <col min="12" max="12" width="6" customWidth="1"/>
    <col min="13" max="13" width="3.85546875" customWidth="1"/>
    <col min="14" max="14" width="13.5703125" customWidth="1"/>
    <col min="15" max="15" width="1.85546875" customWidth="1"/>
    <col min="16" max="16" width="2" customWidth="1"/>
    <col min="17" max="17" width="3" customWidth="1"/>
  </cols>
  <sheetData>
    <row r="1" spans="1:17" ht="15.75" customHeight="1">
      <c r="A1" s="58"/>
      <c r="B1" s="25"/>
      <c r="C1" s="48" t="str">
        <f>IF(Sheet1!F2="","",Sheet1!F2)</f>
        <v/>
      </c>
      <c r="D1" s="48"/>
      <c r="E1" s="48"/>
      <c r="F1" s="26"/>
      <c r="G1" s="26"/>
      <c r="H1" s="49" t="str">
        <f>IF((Sheet1!M2="CLOSED CAPTION"), "CC", " ")</f>
        <v xml:space="preserve"> </v>
      </c>
      <c r="I1" s="49"/>
      <c r="J1" s="26"/>
      <c r="K1" s="27"/>
      <c r="L1" s="27"/>
      <c r="M1" s="50" t="str">
        <f>IF(Sheet1!C2="","",Sheet1!C2)</f>
        <v/>
      </c>
      <c r="N1" s="51"/>
      <c r="O1" s="52" t="str">
        <f>CONCATENATE((Sheet1!G2), ": ",(Sheet1!A2))</f>
        <v xml:space="preserve">: </v>
      </c>
      <c r="P1" s="52"/>
      <c r="Q1" s="28"/>
    </row>
    <row r="2" spans="1:17" ht="15.75" customHeight="1">
      <c r="A2" s="58"/>
      <c r="B2" s="29"/>
      <c r="C2" s="63" t="str">
        <f>CONCATENATE((Sheet1!G2), ": ",(Sheet1!A2))</f>
        <v xml:space="preserve">: 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/>
      <c r="O2" s="53"/>
      <c r="P2" s="53"/>
      <c r="Q2" s="30"/>
    </row>
    <row r="3" spans="1:17" ht="9.75" customHeight="1">
      <c r="A3" s="58"/>
      <c r="B3" s="31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4"/>
      <c r="O3" s="53"/>
      <c r="P3" s="53"/>
      <c r="Q3" s="41" t="str">
        <f>IF(Sheet1!F2="","",Sheet1!F2)</f>
        <v/>
      </c>
    </row>
    <row r="4" spans="1:17" ht="11.25" customHeight="1">
      <c r="A4" s="58"/>
      <c r="B4" s="31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4"/>
      <c r="O4" s="53"/>
      <c r="P4" s="53"/>
      <c r="Q4" s="41"/>
    </row>
    <row r="5" spans="1:17" ht="15.75" customHeight="1">
      <c r="A5" s="58"/>
      <c r="B5" s="32"/>
      <c r="C5" s="65" t="str">
        <f>IF(Sheet1!B2="","",Sheet1!B2)</f>
        <v/>
      </c>
      <c r="D5" s="65"/>
      <c r="E5" s="65"/>
      <c r="F5" s="65"/>
      <c r="G5" s="65"/>
      <c r="H5" s="65"/>
      <c r="I5" s="65"/>
      <c r="J5" s="65"/>
      <c r="K5" s="65"/>
      <c r="L5" s="65"/>
      <c r="M5" s="65"/>
      <c r="N5" s="66"/>
      <c r="O5" s="53"/>
      <c r="P5" s="53"/>
      <c r="Q5" s="41"/>
    </row>
    <row r="6" spans="1:17" ht="10.5" customHeight="1">
      <c r="A6" s="58"/>
      <c r="B6" s="31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6"/>
      <c r="O6" s="53"/>
      <c r="P6" s="53"/>
      <c r="Q6" s="38" t="str">
        <f>IF((Sheet1!M2="CLOSED CAPTION"), "CC", " ")</f>
        <v xml:space="preserve"> </v>
      </c>
    </row>
    <row r="7" spans="1:17" ht="17.25" customHeight="1">
      <c r="A7" s="58"/>
      <c r="B7" s="31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6"/>
      <c r="O7" s="53"/>
      <c r="P7" s="53"/>
      <c r="Q7" s="38"/>
    </row>
    <row r="8" spans="1:17" ht="15" customHeight="1">
      <c r="A8" s="58"/>
      <c r="B8" s="32"/>
      <c r="C8" s="6"/>
      <c r="D8" s="7"/>
      <c r="E8" s="6"/>
      <c r="F8" s="6"/>
      <c r="G8" s="6"/>
      <c r="H8" s="6"/>
      <c r="I8" s="6"/>
      <c r="J8" s="6"/>
      <c r="K8" s="6"/>
      <c r="L8" s="6" t="s">
        <v>0</v>
      </c>
      <c r="M8" s="6" t="s">
        <v>0</v>
      </c>
      <c r="N8" s="24"/>
      <c r="O8" s="53"/>
      <c r="P8" s="53"/>
      <c r="Q8" s="38"/>
    </row>
    <row r="9" spans="1:17" ht="21.75" customHeight="1">
      <c r="A9" s="58"/>
      <c r="B9" s="31"/>
      <c r="C9" s="18"/>
      <c r="D9" s="6"/>
      <c r="E9" s="6"/>
      <c r="F9" s="6"/>
      <c r="G9" s="6"/>
      <c r="H9" s="6"/>
      <c r="I9" s="6"/>
      <c r="J9" s="6"/>
      <c r="K9" s="6"/>
      <c r="L9" s="6" t="s">
        <v>0</v>
      </c>
      <c r="M9" s="6" t="s">
        <v>0</v>
      </c>
      <c r="N9" s="24"/>
      <c r="O9" s="53"/>
      <c r="P9" s="53"/>
      <c r="Q9" s="33" t="str">
        <f>CONCATENATE((Sheet1!H2)," of ", (Sheet1!I2))</f>
        <v xml:space="preserve"> of </v>
      </c>
    </row>
    <row r="10" spans="1:17" ht="15.75" customHeight="1">
      <c r="A10" s="58"/>
      <c r="B10" s="43"/>
      <c r="C10" s="44"/>
      <c r="D10" s="44"/>
      <c r="E10" s="44"/>
      <c r="F10" s="8"/>
      <c r="G10" s="42" t="str">
        <f>IF((Sheet1!L2="EVERGREEN"), "EVERGREEN", " ")</f>
        <v xml:space="preserve"> </v>
      </c>
      <c r="H10" s="42"/>
      <c r="I10" s="42"/>
      <c r="J10" s="42"/>
      <c r="K10" s="9"/>
      <c r="L10" s="9" t="s">
        <v>0</v>
      </c>
      <c r="M10" s="9" t="s">
        <v>0</v>
      </c>
      <c r="N10" s="24"/>
      <c r="O10" s="53"/>
      <c r="P10" s="53"/>
      <c r="Q10" s="39" t="str">
        <f>IF(Sheet1!C2="","",Sheet1!C2)</f>
        <v/>
      </c>
    </row>
    <row r="11" spans="1:17" ht="15.75">
      <c r="A11" s="58"/>
      <c r="B11" s="43"/>
      <c r="C11" s="44"/>
      <c r="D11" s="45"/>
      <c r="E11" s="45"/>
      <c r="F11" s="10"/>
      <c r="G11" s="46" t="s">
        <v>16</v>
      </c>
      <c r="H11" s="46"/>
      <c r="I11" s="47" t="str">
        <f>CONCATENATE((Sheet1!H2)," of ", (Sheet1!I2))</f>
        <v xml:space="preserve"> of </v>
      </c>
      <c r="J11" s="47"/>
      <c r="K11" s="10"/>
      <c r="L11" s="23" t="s">
        <v>15</v>
      </c>
      <c r="M11" s="55" t="str">
        <f>IF(Sheet1!D2="","",Sheet1!D2)</f>
        <v/>
      </c>
      <c r="N11" s="55"/>
      <c r="O11" s="53"/>
      <c r="P11" s="53"/>
      <c r="Q11" s="39"/>
    </row>
    <row r="12" spans="1:17" ht="15.75">
      <c r="A12" s="58"/>
      <c r="B12" s="43"/>
      <c r="C12" s="44"/>
      <c r="D12" s="45"/>
      <c r="E12" s="45"/>
      <c r="F12" s="10"/>
      <c r="G12" s="46" t="s">
        <v>18</v>
      </c>
      <c r="H12" s="46"/>
      <c r="I12" s="46" t="str">
        <f>IF(Sheet1!J2="","",Sheet1!J2)</f>
        <v/>
      </c>
      <c r="J12" s="46"/>
      <c r="K12" s="10"/>
      <c r="L12" s="23" t="s">
        <v>17</v>
      </c>
      <c r="M12" s="56" t="str">
        <f>IF(Sheet1!E2="","",Sheet1!E2)</f>
        <v/>
      </c>
      <c r="N12" s="56"/>
      <c r="O12" s="53"/>
      <c r="P12" s="53"/>
      <c r="Q12" s="39"/>
    </row>
    <row r="13" spans="1:17" ht="14.25" customHeight="1" thickBot="1">
      <c r="A13" s="58"/>
      <c r="B13" s="59"/>
      <c r="C13" s="60"/>
      <c r="D13" s="61"/>
      <c r="E13" s="61"/>
      <c r="F13" s="34"/>
      <c r="G13" s="62" t="s">
        <v>20</v>
      </c>
      <c r="H13" s="62"/>
      <c r="I13" s="62" t="str">
        <f>IF(Sheet1!K2="","",Sheet1!K2)</f>
        <v/>
      </c>
      <c r="J13" s="62"/>
      <c r="K13" s="34"/>
      <c r="L13" s="35" t="s">
        <v>19</v>
      </c>
      <c r="M13" s="57" t="str">
        <f>IF(ISERROR(M12-M11),"",M12-M11)</f>
        <v/>
      </c>
      <c r="N13" s="57"/>
      <c r="O13" s="54"/>
      <c r="P13" s="54"/>
      <c r="Q13" s="40"/>
    </row>
    <row r="14" spans="1:17" ht="15.75" customHeight="1">
      <c r="A14" s="58"/>
      <c r="B14" s="25"/>
      <c r="C14" s="48" t="str">
        <f>IF(Sheet1!F3="","",Sheet1!F3)</f>
        <v/>
      </c>
      <c r="D14" s="48"/>
      <c r="E14" s="48"/>
      <c r="F14" s="26"/>
      <c r="G14" s="26"/>
      <c r="H14" s="49" t="str">
        <f>IF((Sheet1!M3="CLOSED CAPTION"), "CC", " ")</f>
        <v xml:space="preserve"> </v>
      </c>
      <c r="I14" s="49"/>
      <c r="J14" s="26"/>
      <c r="K14" s="27"/>
      <c r="L14" s="27"/>
      <c r="M14" s="50" t="str">
        <f>IF(Sheet1!C3="","",Sheet1!C3)</f>
        <v/>
      </c>
      <c r="N14" s="51"/>
      <c r="O14" s="52" t="str">
        <f>CONCATENATE((Sheet1!G3), ": ",(Sheet1!A3))</f>
        <v xml:space="preserve">: </v>
      </c>
      <c r="P14" s="52"/>
      <c r="Q14" s="28"/>
    </row>
    <row r="15" spans="1:17" ht="15" customHeight="1">
      <c r="A15" s="58"/>
      <c r="B15" s="29"/>
      <c r="C15" s="63" t="str">
        <f>CONCATENATE((Sheet1!G3), ": ",(Sheet1!A3))</f>
        <v xml:space="preserve">: 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4"/>
      <c r="O15" s="53"/>
      <c r="P15" s="53"/>
      <c r="Q15" s="38" t="str">
        <f>IF(Sheet1!F3="","",Sheet1!F3)</f>
        <v/>
      </c>
    </row>
    <row r="16" spans="1:17" ht="9.75" customHeight="1">
      <c r="A16" s="58"/>
      <c r="B16" s="31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4"/>
      <c r="O16" s="53"/>
      <c r="P16" s="53"/>
      <c r="Q16" s="38"/>
    </row>
    <row r="17" spans="1:17" ht="11.25" customHeight="1">
      <c r="A17" s="58"/>
      <c r="B17" s="31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4"/>
      <c r="O17" s="53"/>
      <c r="P17" s="53"/>
      <c r="Q17" s="38"/>
    </row>
    <row r="18" spans="1:17" ht="15" customHeight="1">
      <c r="A18" s="58"/>
      <c r="B18" s="32"/>
      <c r="C18" s="65" t="str">
        <f>IF(Sheet1!B3="","",Sheet1!B3)</f>
        <v/>
      </c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6"/>
      <c r="O18" s="53"/>
      <c r="P18" s="53"/>
      <c r="Q18" s="41" t="str">
        <f>IF((Sheet1!M3="CLOSED CAPTION"), "CC", " ")</f>
        <v xml:space="preserve"> </v>
      </c>
    </row>
    <row r="19" spans="1:17" ht="10.5" customHeight="1">
      <c r="A19" s="58"/>
      <c r="B19" s="31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6"/>
      <c r="O19" s="53"/>
      <c r="P19" s="53"/>
      <c r="Q19" s="41"/>
    </row>
    <row r="20" spans="1:17" ht="12.75" customHeight="1">
      <c r="A20" s="58"/>
      <c r="B20" s="31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6"/>
      <c r="O20" s="53"/>
      <c r="P20" s="53"/>
      <c r="Q20" s="38" t="str">
        <f>CONCATENATE((Sheet1!H3)," of ", (Sheet1!I3))</f>
        <v xml:space="preserve"> of </v>
      </c>
    </row>
    <row r="21" spans="1:17" ht="15.75" customHeight="1">
      <c r="A21" s="58"/>
      <c r="B21" s="32"/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24"/>
      <c r="O21" s="53"/>
      <c r="P21" s="53"/>
      <c r="Q21" s="38"/>
    </row>
    <row r="22" spans="1:17" ht="21.75" customHeight="1">
      <c r="A22" s="58"/>
      <c r="B22" s="31"/>
      <c r="C22" s="18"/>
      <c r="D22" s="6"/>
      <c r="E22" s="6"/>
      <c r="F22" s="6"/>
      <c r="G22" s="6"/>
      <c r="H22" s="6"/>
      <c r="I22" s="6"/>
      <c r="J22" s="6"/>
      <c r="K22" s="6"/>
      <c r="L22" s="6"/>
      <c r="M22" s="6"/>
      <c r="N22" s="24"/>
      <c r="O22" s="53"/>
      <c r="P22" s="53"/>
      <c r="Q22" s="38"/>
    </row>
    <row r="23" spans="1:17" ht="15.75" customHeight="1">
      <c r="A23" s="58"/>
      <c r="B23" s="43"/>
      <c r="C23" s="44"/>
      <c r="D23" s="44"/>
      <c r="E23" s="44"/>
      <c r="F23" s="8"/>
      <c r="G23" s="42" t="str">
        <f>IF((Sheet1!L3="EVERGREEN"), "EVERGREEN", " ")</f>
        <v xml:space="preserve"> </v>
      </c>
      <c r="H23" s="42"/>
      <c r="I23" s="42"/>
      <c r="J23" s="42"/>
      <c r="K23" s="9"/>
      <c r="L23" s="9"/>
      <c r="M23" s="9"/>
      <c r="N23" s="24"/>
      <c r="O23" s="53"/>
      <c r="P23" s="53"/>
      <c r="Q23" s="39" t="str">
        <f>IF(Sheet1!C3="","",Sheet1!C3)</f>
        <v/>
      </c>
    </row>
    <row r="24" spans="1:17" ht="19.5" customHeight="1">
      <c r="A24" s="58"/>
      <c r="B24" s="43"/>
      <c r="C24" s="44"/>
      <c r="D24" s="45"/>
      <c r="E24" s="45"/>
      <c r="F24" s="10"/>
      <c r="G24" s="46" t="s">
        <v>16</v>
      </c>
      <c r="H24" s="46"/>
      <c r="I24" s="47" t="str">
        <f>CONCATENATE((Sheet1!H3)," of ", (Sheet1!I3))</f>
        <v xml:space="preserve"> of </v>
      </c>
      <c r="J24" s="47"/>
      <c r="K24" s="10"/>
      <c r="L24" s="23" t="s">
        <v>15</v>
      </c>
      <c r="M24" s="55" t="str">
        <f>IF(Sheet1!D3="","",Sheet1!D3)</f>
        <v/>
      </c>
      <c r="N24" s="55"/>
      <c r="O24" s="53"/>
      <c r="P24" s="53"/>
      <c r="Q24" s="39"/>
    </row>
    <row r="25" spans="1:17" ht="13.5" customHeight="1">
      <c r="A25" s="58"/>
      <c r="B25" s="43"/>
      <c r="C25" s="44"/>
      <c r="D25" s="45"/>
      <c r="E25" s="45"/>
      <c r="F25" s="10"/>
      <c r="G25" s="46" t="s">
        <v>18</v>
      </c>
      <c r="H25" s="46"/>
      <c r="I25" s="46" t="str">
        <f>IF(Sheet1!J3="","",Sheet1!J3)</f>
        <v/>
      </c>
      <c r="J25" s="46"/>
      <c r="K25" s="10"/>
      <c r="L25" s="23" t="s">
        <v>17</v>
      </c>
      <c r="M25" s="56" t="str">
        <f>IF(Sheet1!E3="","",Sheet1!E3)</f>
        <v/>
      </c>
      <c r="N25" s="56"/>
      <c r="O25" s="53"/>
      <c r="P25" s="53"/>
      <c r="Q25" s="39"/>
    </row>
    <row r="26" spans="1:17" ht="15.75" customHeight="1" thickBot="1">
      <c r="A26" s="58"/>
      <c r="B26" s="59"/>
      <c r="C26" s="60"/>
      <c r="D26" s="61"/>
      <c r="E26" s="61"/>
      <c r="F26" s="34"/>
      <c r="G26" s="62" t="s">
        <v>20</v>
      </c>
      <c r="H26" s="62"/>
      <c r="I26" s="62" t="str">
        <f>IF(Sheet1!K3="","",Sheet1!K3)</f>
        <v/>
      </c>
      <c r="J26" s="62"/>
      <c r="K26" s="34"/>
      <c r="L26" s="35" t="s">
        <v>19</v>
      </c>
      <c r="M26" s="57" t="str">
        <f>IF(ISERROR(M25-M24),"",M25-M24)</f>
        <v/>
      </c>
      <c r="N26" s="57"/>
      <c r="O26" s="54"/>
      <c r="P26" s="54"/>
      <c r="Q26" s="40"/>
    </row>
    <row r="27" spans="1:17" ht="15.75" customHeight="1">
      <c r="A27" s="58"/>
      <c r="B27" s="25"/>
      <c r="C27" s="48" t="str">
        <f>IF(Sheet1!F4="","",Sheet1!F4)</f>
        <v/>
      </c>
      <c r="D27" s="48"/>
      <c r="E27" s="48"/>
      <c r="F27" s="26"/>
      <c r="G27" s="26"/>
      <c r="H27" s="49" t="str">
        <f>IF((Sheet1!M4="CLOSED CAPTION"), "CC", " ")</f>
        <v xml:space="preserve"> </v>
      </c>
      <c r="I27" s="49"/>
      <c r="J27" s="26"/>
      <c r="K27" s="27"/>
      <c r="L27" s="27"/>
      <c r="M27" s="50" t="str">
        <f>IF(Sheet1!C4="","",Sheet1!C4)</f>
        <v/>
      </c>
      <c r="N27" s="51"/>
      <c r="O27" s="52" t="str">
        <f>CONCATENATE((Sheet1!G4), ": ",(Sheet1!A4))</f>
        <v xml:space="preserve">: </v>
      </c>
      <c r="P27" s="52"/>
      <c r="Q27" s="28"/>
    </row>
    <row r="28" spans="1:17" ht="15" customHeight="1">
      <c r="A28" s="58"/>
      <c r="B28" s="29"/>
      <c r="C28" s="63" t="str">
        <f>CONCATENATE((Sheet1!G4), ": ",(Sheet1!A4))</f>
        <v xml:space="preserve">: 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4"/>
      <c r="O28" s="53"/>
      <c r="P28" s="53"/>
      <c r="Q28" s="38" t="str">
        <f>IF(Sheet1!F4="","",Sheet1!F4)</f>
        <v/>
      </c>
    </row>
    <row r="29" spans="1:17" ht="9.75" customHeight="1">
      <c r="A29" s="58"/>
      <c r="B29" s="31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4"/>
      <c r="O29" s="53"/>
      <c r="P29" s="53"/>
      <c r="Q29" s="38"/>
    </row>
    <row r="30" spans="1:17" ht="11.25" customHeight="1">
      <c r="A30" s="58"/>
      <c r="B30" s="31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4"/>
      <c r="O30" s="53"/>
      <c r="P30" s="53"/>
      <c r="Q30" s="38"/>
    </row>
    <row r="31" spans="1:17" ht="15" customHeight="1">
      <c r="A31" s="58"/>
      <c r="B31" s="32"/>
      <c r="C31" s="65" t="str">
        <f>IF(Sheet1!B4="","",Sheet1!B4)</f>
        <v/>
      </c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6"/>
      <c r="O31" s="53"/>
      <c r="P31" s="53"/>
      <c r="Q31" s="38"/>
    </row>
    <row r="32" spans="1:17" ht="10.5" customHeight="1">
      <c r="A32" s="58"/>
      <c r="B32" s="31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6"/>
      <c r="O32" s="53"/>
      <c r="P32" s="53"/>
      <c r="Q32" s="38" t="str">
        <f>IF((Sheet1!M4="CLOSED CAPTION"), "CC", " ")</f>
        <v xml:space="preserve"> </v>
      </c>
    </row>
    <row r="33" spans="1:17" ht="12.75" customHeight="1">
      <c r="A33" s="58"/>
      <c r="B33" s="31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6"/>
      <c r="O33" s="53"/>
      <c r="P33" s="53"/>
      <c r="Q33" s="38"/>
    </row>
    <row r="34" spans="1:17" ht="15.75" customHeight="1">
      <c r="A34" s="58"/>
      <c r="B34" s="32"/>
      <c r="C34" s="6"/>
      <c r="D34" s="7"/>
      <c r="E34" s="6"/>
      <c r="F34" s="6"/>
      <c r="G34" s="6"/>
      <c r="H34" s="6"/>
      <c r="I34" s="6"/>
      <c r="J34" s="6"/>
      <c r="K34" s="6"/>
      <c r="L34" s="6"/>
      <c r="M34" s="6"/>
      <c r="N34" s="24"/>
      <c r="O34" s="53"/>
      <c r="P34" s="53"/>
      <c r="Q34" s="38" t="str">
        <f>CONCATENATE((Sheet1!H4)," of ", (Sheet1!I4))</f>
        <v xml:space="preserve"> of </v>
      </c>
    </row>
    <row r="35" spans="1:17" ht="21.75" customHeight="1">
      <c r="A35" s="58"/>
      <c r="B35" s="31"/>
      <c r="C35" s="18"/>
      <c r="D35" s="6"/>
      <c r="E35" s="6"/>
      <c r="F35" s="6"/>
      <c r="G35" s="6"/>
      <c r="H35" s="6"/>
      <c r="I35" s="6"/>
      <c r="J35" s="6"/>
      <c r="K35" s="6"/>
      <c r="L35" s="6"/>
      <c r="M35" s="6"/>
      <c r="N35" s="24"/>
      <c r="O35" s="53"/>
      <c r="P35" s="53"/>
      <c r="Q35" s="38"/>
    </row>
    <row r="36" spans="1:17" ht="15.75" customHeight="1">
      <c r="A36" s="58"/>
      <c r="B36" s="43"/>
      <c r="C36" s="44"/>
      <c r="D36" s="44"/>
      <c r="E36" s="44"/>
      <c r="F36" s="8"/>
      <c r="G36" s="42" t="str">
        <f>IF((Sheet1!L4="EVERGREEN"), "EVERGREEN", " ")</f>
        <v xml:space="preserve"> </v>
      </c>
      <c r="H36" s="42"/>
      <c r="I36" s="42"/>
      <c r="J36" s="42"/>
      <c r="K36" s="9"/>
      <c r="L36" s="9"/>
      <c r="M36" s="9"/>
      <c r="N36" s="24"/>
      <c r="O36" s="53"/>
      <c r="P36" s="53"/>
      <c r="Q36" s="39" t="str">
        <f>IF(Sheet1!C4="","",Sheet1!C4)</f>
        <v/>
      </c>
    </row>
    <row r="37" spans="1:17" ht="15.75">
      <c r="A37" s="58"/>
      <c r="B37" s="43"/>
      <c r="C37" s="44"/>
      <c r="D37" s="45"/>
      <c r="E37" s="45"/>
      <c r="F37" s="10"/>
      <c r="G37" s="46" t="s">
        <v>16</v>
      </c>
      <c r="H37" s="46"/>
      <c r="I37" s="47" t="str">
        <f>CONCATENATE((Sheet1!H4)," of ", (Sheet1!I4))</f>
        <v xml:space="preserve"> of </v>
      </c>
      <c r="J37" s="47"/>
      <c r="K37" s="10"/>
      <c r="L37" s="23" t="s">
        <v>15</v>
      </c>
      <c r="M37" s="55" t="str">
        <f>IF(Sheet1!D4="","",Sheet1!D4)</f>
        <v/>
      </c>
      <c r="N37" s="55"/>
      <c r="O37" s="53"/>
      <c r="P37" s="53"/>
      <c r="Q37" s="39"/>
    </row>
    <row r="38" spans="1:17" ht="15.75">
      <c r="A38" s="58"/>
      <c r="B38" s="43"/>
      <c r="C38" s="44"/>
      <c r="D38" s="45"/>
      <c r="E38" s="45"/>
      <c r="F38" s="10"/>
      <c r="G38" s="46" t="s">
        <v>18</v>
      </c>
      <c r="H38" s="46"/>
      <c r="I38" s="46" t="str">
        <f>IF(Sheet1!J4="","",Sheet1!J4)</f>
        <v/>
      </c>
      <c r="J38" s="46"/>
      <c r="K38" s="10"/>
      <c r="L38" s="23" t="s">
        <v>17</v>
      </c>
      <c r="M38" s="56" t="str">
        <f>IF(Sheet1!E4="","",Sheet1!E4)</f>
        <v/>
      </c>
      <c r="N38" s="56"/>
      <c r="O38" s="53"/>
      <c r="P38" s="53"/>
      <c r="Q38" s="39"/>
    </row>
    <row r="39" spans="1:17" ht="14.25" customHeight="1" thickBot="1">
      <c r="A39" s="58"/>
      <c r="B39" s="59"/>
      <c r="C39" s="60"/>
      <c r="D39" s="61"/>
      <c r="E39" s="61"/>
      <c r="F39" s="34"/>
      <c r="G39" s="62" t="s">
        <v>20</v>
      </c>
      <c r="H39" s="62"/>
      <c r="I39" s="62" t="str">
        <f>IF(Sheet1!K4="","",Sheet1!K4)</f>
        <v/>
      </c>
      <c r="J39" s="62"/>
      <c r="K39" s="34"/>
      <c r="L39" s="35" t="s">
        <v>19</v>
      </c>
      <c r="M39" s="57" t="str">
        <f>IF(ISERROR(M38-M37),"",M38-M37)</f>
        <v/>
      </c>
      <c r="N39" s="57"/>
      <c r="O39" s="54"/>
      <c r="P39" s="54"/>
      <c r="Q39" s="40"/>
    </row>
    <row r="40" spans="1:17" ht="15.75" customHeight="1">
      <c r="A40" s="58"/>
      <c r="B40" s="25"/>
      <c r="C40" s="48" t="str">
        <f>IF(Sheet1!F5="","",Sheet1!F5)</f>
        <v/>
      </c>
      <c r="D40" s="48"/>
      <c r="E40" s="48"/>
      <c r="F40" s="26"/>
      <c r="G40" s="26"/>
      <c r="H40" s="49" t="str">
        <f>IF((Sheet1!M5="CLOSED CAPTION"), "CC", " ")</f>
        <v xml:space="preserve"> </v>
      </c>
      <c r="I40" s="49"/>
      <c r="J40" s="26"/>
      <c r="K40" s="27"/>
      <c r="L40" s="27"/>
      <c r="M40" s="50" t="str">
        <f>IF(Sheet1!C5="","",Sheet1!C5)</f>
        <v/>
      </c>
      <c r="N40" s="51"/>
      <c r="O40" s="52" t="str">
        <f>CONCATENATE((Sheet1!G5), ": ",(Sheet1!A5))</f>
        <v xml:space="preserve">: </v>
      </c>
      <c r="P40" s="52"/>
      <c r="Q40" s="28"/>
    </row>
    <row r="41" spans="1:17">
      <c r="A41" s="58"/>
      <c r="B41" s="29"/>
      <c r="C41" s="63" t="str">
        <f>CONCATENATE((Sheet1!G5), ": ",(Sheet1!A5))</f>
        <v xml:space="preserve">: 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4"/>
      <c r="O41" s="53"/>
      <c r="P41" s="53"/>
      <c r="Q41" s="38" t="str">
        <f>IF(Sheet1!F5="","",Sheet1!F5)</f>
        <v/>
      </c>
    </row>
    <row r="42" spans="1:17" ht="9.75" customHeight="1">
      <c r="A42" s="58"/>
      <c r="B42" s="31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4"/>
      <c r="O42" s="53"/>
      <c r="P42" s="53"/>
      <c r="Q42" s="38"/>
    </row>
    <row r="43" spans="1:17" ht="11.25" customHeight="1">
      <c r="A43" s="58"/>
      <c r="B43" s="31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4"/>
      <c r="O43" s="53"/>
      <c r="P43" s="53"/>
      <c r="Q43" s="38"/>
    </row>
    <row r="44" spans="1:17">
      <c r="A44" s="58"/>
      <c r="B44" s="32"/>
      <c r="C44" s="65" t="str">
        <f>IF(Sheet1!B5="","",Sheet1!B5)</f>
        <v/>
      </c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6"/>
      <c r="O44" s="53"/>
      <c r="P44" s="53"/>
      <c r="Q44" s="38"/>
    </row>
    <row r="45" spans="1:17" ht="10.5" customHeight="1">
      <c r="A45" s="58"/>
      <c r="B45" s="31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6"/>
      <c r="O45" s="53"/>
      <c r="P45" s="53"/>
      <c r="Q45" s="38" t="str">
        <f>IF((Sheet1!M5="CLOSED CAPTION"), "CC", " ")</f>
        <v xml:space="preserve"> </v>
      </c>
    </row>
    <row r="46" spans="1:17" ht="12.75" customHeight="1">
      <c r="A46" s="58"/>
      <c r="B46" s="31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6"/>
      <c r="O46" s="53"/>
      <c r="P46" s="53"/>
      <c r="Q46" s="38"/>
    </row>
    <row r="47" spans="1:17" ht="15.75" customHeight="1">
      <c r="A47" s="58"/>
      <c r="B47" s="32"/>
      <c r="C47" s="6"/>
      <c r="D47" s="7"/>
      <c r="E47" s="6"/>
      <c r="F47" s="6"/>
      <c r="G47" s="6"/>
      <c r="H47" s="6"/>
      <c r="I47" s="6"/>
      <c r="J47" s="6"/>
      <c r="K47" s="6"/>
      <c r="L47" s="6"/>
      <c r="M47" s="6"/>
      <c r="N47" s="24"/>
      <c r="O47" s="53"/>
      <c r="P47" s="53"/>
      <c r="Q47" s="38" t="str">
        <f>CONCATENATE((Sheet1!H5)," of ", (Sheet1!I5))</f>
        <v xml:space="preserve"> of </v>
      </c>
    </row>
    <row r="48" spans="1:17" ht="27" customHeight="1">
      <c r="A48" s="58"/>
      <c r="B48" s="31"/>
      <c r="C48" s="18"/>
      <c r="D48" s="6"/>
      <c r="E48" s="6"/>
      <c r="F48" s="6"/>
      <c r="G48" s="6"/>
      <c r="H48" s="6"/>
      <c r="I48" s="6"/>
      <c r="J48" s="6"/>
      <c r="K48" s="6"/>
      <c r="L48" s="6"/>
      <c r="M48" s="6"/>
      <c r="N48" s="24"/>
      <c r="O48" s="53"/>
      <c r="P48" s="53"/>
      <c r="Q48" s="38"/>
    </row>
    <row r="49" spans="1:17" ht="15.75" customHeight="1">
      <c r="A49" s="58"/>
      <c r="B49" s="43"/>
      <c r="C49" s="44"/>
      <c r="D49" s="44"/>
      <c r="E49" s="44"/>
      <c r="F49" s="8"/>
      <c r="G49" s="42" t="str">
        <f>IF((Sheet1!L5="EVERGREEN"), "EVERGREEN", " ")</f>
        <v xml:space="preserve"> </v>
      </c>
      <c r="H49" s="42"/>
      <c r="I49" s="42"/>
      <c r="J49" s="42"/>
      <c r="K49" s="9"/>
      <c r="L49" s="9"/>
      <c r="M49" s="9"/>
      <c r="N49" s="24"/>
      <c r="O49" s="53"/>
      <c r="P49" s="53"/>
      <c r="Q49" s="39" t="str">
        <f>IF(Sheet1!C5="","",Sheet1!C5)</f>
        <v/>
      </c>
    </row>
    <row r="50" spans="1:17" ht="15.75">
      <c r="A50" s="58"/>
      <c r="B50" s="43"/>
      <c r="C50" s="44"/>
      <c r="D50" s="45"/>
      <c r="E50" s="45"/>
      <c r="F50" s="10"/>
      <c r="G50" s="46" t="s">
        <v>16</v>
      </c>
      <c r="H50" s="46"/>
      <c r="I50" s="47" t="str">
        <f>CONCATENATE((Sheet1!H5)," of ", (Sheet1!I5))</f>
        <v xml:space="preserve"> of </v>
      </c>
      <c r="J50" s="47"/>
      <c r="K50" s="10"/>
      <c r="L50" s="23" t="s">
        <v>15</v>
      </c>
      <c r="M50" s="55" t="str">
        <f>IF(Sheet1!D5="","",Sheet1!D5)</f>
        <v/>
      </c>
      <c r="N50" s="55"/>
      <c r="O50" s="53"/>
      <c r="P50" s="53"/>
      <c r="Q50" s="39"/>
    </row>
    <row r="51" spans="1:17" ht="15.75">
      <c r="A51" s="58"/>
      <c r="B51" s="43"/>
      <c r="C51" s="44"/>
      <c r="D51" s="45"/>
      <c r="E51" s="45"/>
      <c r="F51" s="10"/>
      <c r="G51" s="46" t="s">
        <v>18</v>
      </c>
      <c r="H51" s="46"/>
      <c r="I51" s="46" t="str">
        <f>IF(Sheet1!J5="","",Sheet1!J5)</f>
        <v/>
      </c>
      <c r="J51" s="46"/>
      <c r="K51" s="10"/>
      <c r="L51" s="23" t="s">
        <v>17</v>
      </c>
      <c r="M51" s="56" t="str">
        <f>IF(Sheet1!E5="","",Sheet1!E5)</f>
        <v/>
      </c>
      <c r="N51" s="56"/>
      <c r="O51" s="53"/>
      <c r="P51" s="53"/>
      <c r="Q51" s="39"/>
    </row>
    <row r="52" spans="1:17" ht="14.25" customHeight="1" thickBot="1">
      <c r="A52" s="58"/>
      <c r="B52" s="59"/>
      <c r="C52" s="60"/>
      <c r="D52" s="61"/>
      <c r="E52" s="61"/>
      <c r="F52" s="34"/>
      <c r="G52" s="62" t="s">
        <v>20</v>
      </c>
      <c r="H52" s="62"/>
      <c r="I52" s="62" t="str">
        <f>IF(Sheet1!K5="","",Sheet1!K5)</f>
        <v/>
      </c>
      <c r="J52" s="62"/>
      <c r="K52" s="34"/>
      <c r="L52" s="35" t="s">
        <v>19</v>
      </c>
      <c r="M52" s="57" t="str">
        <f>IF(ISERROR(M51-M50),"",M51-M50)</f>
        <v/>
      </c>
      <c r="N52" s="57"/>
      <c r="O52" s="54"/>
      <c r="P52" s="54"/>
      <c r="Q52" s="40"/>
    </row>
    <row r="53" spans="1:17" ht="12" customHeight="1">
      <c r="A53" s="20"/>
      <c r="B53" s="16"/>
      <c r="C53" s="16"/>
      <c r="D53" s="17"/>
      <c r="E53" s="17"/>
      <c r="F53" s="10"/>
      <c r="G53" s="11"/>
      <c r="H53" s="11"/>
      <c r="I53" s="11"/>
      <c r="J53" s="11"/>
      <c r="K53" s="10"/>
      <c r="L53" s="11"/>
      <c r="M53" s="12"/>
      <c r="N53" s="13"/>
      <c r="O53" s="14"/>
      <c r="P53" s="14"/>
      <c r="Q53" s="15"/>
    </row>
    <row r="54" spans="1:17" s="37" customFormat="1" ht="12" customHeight="1" thickBot="1"/>
    <row r="55" spans="1:17" ht="15.75" customHeight="1">
      <c r="A55" s="58"/>
      <c r="B55" s="25"/>
      <c r="C55" s="48" t="str">
        <f>IF(Sheet1!F6="","",Sheet1!F6)</f>
        <v/>
      </c>
      <c r="D55" s="48"/>
      <c r="E55" s="48"/>
      <c r="F55" s="26"/>
      <c r="G55" s="26"/>
      <c r="H55" s="49" t="str">
        <f>IF((Sheet1!M6="CLOSED CAPTION"), "CC", " ")</f>
        <v xml:space="preserve"> </v>
      </c>
      <c r="I55" s="49"/>
      <c r="J55" s="26"/>
      <c r="K55" s="27"/>
      <c r="L55" s="27"/>
      <c r="M55" s="50" t="str">
        <f>IF(Sheet1!C6="","",Sheet1!C6)</f>
        <v/>
      </c>
      <c r="N55" s="51"/>
      <c r="O55" s="52" t="str">
        <f>CONCATENATE((Sheet1!G6), ": ",(Sheet1!A6))</f>
        <v xml:space="preserve">: </v>
      </c>
      <c r="P55" s="52"/>
      <c r="Q55" s="28"/>
    </row>
    <row r="56" spans="1:17" ht="15.75" customHeight="1">
      <c r="A56" s="58"/>
      <c r="B56" s="29"/>
      <c r="C56" s="63" t="str">
        <f>CONCATENATE((Sheet1!G6), ": ",(Sheet1!A6))</f>
        <v xml:space="preserve">: 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4"/>
      <c r="O56" s="53"/>
      <c r="P56" s="53"/>
      <c r="Q56" s="38" t="str">
        <f>IF(Sheet1!F6="","",Sheet1!F6)</f>
        <v/>
      </c>
    </row>
    <row r="57" spans="1:17" ht="9.75" customHeight="1">
      <c r="A57" s="58"/>
      <c r="B57" s="31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4"/>
      <c r="O57" s="53"/>
      <c r="P57" s="53"/>
      <c r="Q57" s="38"/>
    </row>
    <row r="58" spans="1:17" ht="11.25" customHeight="1">
      <c r="A58" s="58"/>
      <c r="B58" s="31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4"/>
      <c r="O58" s="53"/>
      <c r="P58" s="53"/>
      <c r="Q58" s="38"/>
    </row>
    <row r="59" spans="1:17" ht="15.75" customHeight="1">
      <c r="A59" s="58"/>
      <c r="B59" s="32"/>
      <c r="C59" s="65" t="str">
        <f>IF(Sheet1!B6="","",Sheet1!B6)</f>
        <v/>
      </c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6"/>
      <c r="O59" s="53"/>
      <c r="P59" s="53"/>
      <c r="Q59" s="38"/>
    </row>
    <row r="60" spans="1:17" ht="10.5" customHeight="1">
      <c r="A60" s="58"/>
      <c r="B60" s="31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6"/>
      <c r="O60" s="53"/>
      <c r="P60" s="53"/>
      <c r="Q60" s="38"/>
    </row>
    <row r="61" spans="1:17" ht="17.25" customHeight="1">
      <c r="A61" s="58"/>
      <c r="B61" s="31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6"/>
      <c r="O61" s="53"/>
      <c r="P61" s="53"/>
      <c r="Q61" s="36" t="str">
        <f>IF((Sheet1!M6="CLOSED CAPTION"), "CC", " ")</f>
        <v xml:space="preserve"> </v>
      </c>
    </row>
    <row r="62" spans="1:17" ht="15" customHeight="1">
      <c r="A62" s="58"/>
      <c r="B62" s="32"/>
      <c r="C62" s="6"/>
      <c r="D62" s="7"/>
      <c r="E62" s="6"/>
      <c r="F62" s="6"/>
      <c r="G62" s="6"/>
      <c r="H62" s="6"/>
      <c r="I62" s="6"/>
      <c r="J62" s="6"/>
      <c r="K62" s="6"/>
      <c r="L62" s="6"/>
      <c r="M62" s="6"/>
      <c r="N62" s="24"/>
      <c r="O62" s="53"/>
      <c r="P62" s="53"/>
      <c r="Q62" s="38" t="str">
        <f>CONCATENATE((Sheet1!H6)," of ", (Sheet1!I6))</f>
        <v xml:space="preserve"> of </v>
      </c>
    </row>
    <row r="63" spans="1:17" ht="21.75" customHeight="1">
      <c r="A63" s="58"/>
      <c r="B63" s="31"/>
      <c r="C63" s="18"/>
      <c r="D63" s="6"/>
      <c r="E63" s="6"/>
      <c r="F63" s="6"/>
      <c r="G63" s="6"/>
      <c r="H63" s="6"/>
      <c r="I63" s="6"/>
      <c r="J63" s="6"/>
      <c r="K63" s="6"/>
      <c r="L63" s="6"/>
      <c r="M63" s="6"/>
      <c r="N63" s="24"/>
      <c r="O63" s="53"/>
      <c r="P63" s="53"/>
      <c r="Q63" s="38"/>
    </row>
    <row r="64" spans="1:17" ht="15.75" customHeight="1">
      <c r="A64" s="58"/>
      <c r="B64" s="43"/>
      <c r="C64" s="44"/>
      <c r="D64" s="44"/>
      <c r="E64" s="44"/>
      <c r="F64" s="8"/>
      <c r="G64" s="42" t="str">
        <f>IF((Sheet1!L6="EVERGREEN"), "EVERGREEN", " ")</f>
        <v xml:space="preserve"> </v>
      </c>
      <c r="H64" s="42"/>
      <c r="I64" s="42"/>
      <c r="J64" s="42"/>
      <c r="K64" s="9"/>
      <c r="L64" s="9"/>
      <c r="M64" s="9"/>
      <c r="N64" s="24"/>
      <c r="O64" s="53"/>
      <c r="P64" s="53"/>
      <c r="Q64" s="39" t="str">
        <f>IF(Sheet1!C6="","",Sheet1!C6)</f>
        <v/>
      </c>
    </row>
    <row r="65" spans="1:17" ht="15.75">
      <c r="A65" s="58"/>
      <c r="B65" s="43"/>
      <c r="C65" s="44"/>
      <c r="D65" s="45"/>
      <c r="E65" s="45"/>
      <c r="F65" s="10"/>
      <c r="G65" s="46" t="s">
        <v>16</v>
      </c>
      <c r="H65" s="46"/>
      <c r="I65" s="47" t="str">
        <f>CONCATENATE((Sheet1!H6)," of ", (Sheet1!I6))</f>
        <v xml:space="preserve"> of </v>
      </c>
      <c r="J65" s="47"/>
      <c r="K65" s="10"/>
      <c r="L65" s="23" t="s">
        <v>15</v>
      </c>
      <c r="M65" s="55" t="str">
        <f>IF(Sheet1!D6="","",Sheet1!D6)</f>
        <v/>
      </c>
      <c r="N65" s="55"/>
      <c r="O65" s="53"/>
      <c r="P65" s="53"/>
      <c r="Q65" s="39"/>
    </row>
    <row r="66" spans="1:17" ht="15.75">
      <c r="A66" s="58"/>
      <c r="B66" s="43"/>
      <c r="C66" s="44"/>
      <c r="D66" s="45"/>
      <c r="E66" s="45"/>
      <c r="F66" s="10"/>
      <c r="G66" s="46" t="s">
        <v>18</v>
      </c>
      <c r="H66" s="46"/>
      <c r="I66" s="46" t="str">
        <f>IF(Sheet1!J6="","",Sheet1!J6)</f>
        <v/>
      </c>
      <c r="J66" s="46"/>
      <c r="K66" s="10"/>
      <c r="L66" s="23" t="s">
        <v>17</v>
      </c>
      <c r="M66" s="56" t="str">
        <f>IF(Sheet1!E6="","",Sheet1!E6)</f>
        <v/>
      </c>
      <c r="N66" s="56"/>
      <c r="O66" s="53"/>
      <c r="P66" s="53"/>
      <c r="Q66" s="39"/>
    </row>
    <row r="67" spans="1:17" ht="14.25" customHeight="1" thickBot="1">
      <c r="A67" s="58"/>
      <c r="B67" s="59"/>
      <c r="C67" s="60"/>
      <c r="D67" s="61"/>
      <c r="E67" s="61"/>
      <c r="F67" s="34"/>
      <c r="G67" s="62" t="s">
        <v>20</v>
      </c>
      <c r="H67" s="62"/>
      <c r="I67" s="62" t="str">
        <f>IF(Sheet1!K6="","",Sheet1!K6)</f>
        <v/>
      </c>
      <c r="J67" s="62"/>
      <c r="K67" s="34"/>
      <c r="L67" s="35" t="s">
        <v>19</v>
      </c>
      <c r="M67" s="57" t="str">
        <f>IF(ISERROR(M66-M65),"",M66-M65)</f>
        <v/>
      </c>
      <c r="N67" s="57"/>
      <c r="O67" s="54"/>
      <c r="P67" s="54"/>
      <c r="Q67" s="40"/>
    </row>
    <row r="68" spans="1:17" ht="15.75" customHeight="1">
      <c r="A68" s="58"/>
      <c r="B68" s="25"/>
      <c r="C68" s="48" t="str">
        <f>IF(Sheet1!F7="","",Sheet1!F7)</f>
        <v/>
      </c>
      <c r="D68" s="48"/>
      <c r="E68" s="48"/>
      <c r="F68" s="26"/>
      <c r="G68" s="26"/>
      <c r="H68" s="49" t="str">
        <f>IF((Sheet1!M7="CLOSED CAPTION"), "CC", " ")</f>
        <v xml:space="preserve"> </v>
      </c>
      <c r="I68" s="49"/>
      <c r="J68" s="26"/>
      <c r="K68" s="27"/>
      <c r="L68" s="27"/>
      <c r="M68" s="50" t="str">
        <f>IF(Sheet1!C7="","",Sheet1!C7)</f>
        <v/>
      </c>
      <c r="N68" s="51"/>
      <c r="O68" s="52" t="str">
        <f>CONCATENATE((Sheet1!G7), ": ",(Sheet1!A7))</f>
        <v xml:space="preserve">: </v>
      </c>
      <c r="P68" s="52"/>
      <c r="Q68" s="28"/>
    </row>
    <row r="69" spans="1:17" ht="15.75" customHeight="1">
      <c r="A69" s="58"/>
      <c r="B69" s="29"/>
      <c r="C69" s="63" t="str">
        <f>CONCATENATE((Sheet1!G7), ": ",(Sheet1!A7))</f>
        <v xml:space="preserve">: 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4"/>
      <c r="O69" s="53"/>
      <c r="P69" s="53"/>
      <c r="Q69" s="38" t="str">
        <f>IF(Sheet1!F7="","",Sheet1!F7)</f>
        <v/>
      </c>
    </row>
    <row r="70" spans="1:17" ht="9.75" customHeight="1">
      <c r="A70" s="58"/>
      <c r="B70" s="31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4"/>
      <c r="O70" s="53"/>
      <c r="P70" s="53"/>
      <c r="Q70" s="38"/>
    </row>
    <row r="71" spans="1:17" ht="11.25" customHeight="1">
      <c r="A71" s="58"/>
      <c r="B71" s="31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4"/>
      <c r="O71" s="53"/>
      <c r="P71" s="53"/>
      <c r="Q71" s="38"/>
    </row>
    <row r="72" spans="1:17" ht="15.75" customHeight="1">
      <c r="A72" s="58"/>
      <c r="B72" s="32"/>
      <c r="C72" s="65" t="str">
        <f>IF(Sheet1!B7="","",Sheet1!B7)</f>
        <v/>
      </c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6"/>
      <c r="O72" s="53"/>
      <c r="P72" s="53"/>
      <c r="Q72" s="38"/>
    </row>
    <row r="73" spans="1:17" ht="10.5" customHeight="1">
      <c r="A73" s="58"/>
      <c r="B73" s="31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6"/>
      <c r="O73" s="53"/>
      <c r="P73" s="53"/>
      <c r="Q73" s="38" t="str">
        <f>IF((Sheet1!M7="CLOSED CAPTION"), "CC", " ")</f>
        <v xml:space="preserve"> </v>
      </c>
    </row>
    <row r="74" spans="1:17" ht="11.25" customHeight="1">
      <c r="A74" s="58"/>
      <c r="B74" s="31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6"/>
      <c r="O74" s="53"/>
      <c r="P74" s="53"/>
      <c r="Q74" s="38"/>
    </row>
    <row r="75" spans="1:17" ht="15" customHeight="1">
      <c r="A75" s="58"/>
      <c r="B75" s="32"/>
      <c r="C75" s="6"/>
      <c r="D75" s="7"/>
      <c r="E75" s="6"/>
      <c r="F75" s="6"/>
      <c r="G75" s="6"/>
      <c r="H75" s="6"/>
      <c r="I75" s="6"/>
      <c r="J75" s="6"/>
      <c r="K75" s="6"/>
      <c r="L75" s="6"/>
      <c r="M75" s="6"/>
      <c r="N75" s="24"/>
      <c r="O75" s="53"/>
      <c r="P75" s="53"/>
      <c r="Q75" s="38" t="str">
        <f>CONCATENATE((Sheet1!H7)," of ", (Sheet1!I7))</f>
        <v xml:space="preserve"> of </v>
      </c>
    </row>
    <row r="76" spans="1:17" ht="21.75" customHeight="1">
      <c r="A76" s="58"/>
      <c r="B76" s="31"/>
      <c r="C76" s="18"/>
      <c r="D76" s="6"/>
      <c r="E76" s="6"/>
      <c r="F76" s="6"/>
      <c r="G76" s="6"/>
      <c r="H76" s="6"/>
      <c r="I76" s="6"/>
      <c r="J76" s="6"/>
      <c r="K76" s="6"/>
      <c r="L76" s="6"/>
      <c r="M76" s="6"/>
      <c r="N76" s="24"/>
      <c r="O76" s="53"/>
      <c r="P76" s="53"/>
      <c r="Q76" s="38"/>
    </row>
    <row r="77" spans="1:17" ht="15.75" customHeight="1">
      <c r="A77" s="58"/>
      <c r="B77" s="43"/>
      <c r="C77" s="44"/>
      <c r="D77" s="44"/>
      <c r="E77" s="44"/>
      <c r="F77" s="8"/>
      <c r="G77" s="42" t="str">
        <f>IF((Sheet1!L7="EVERGREEN"), "EVERGREEN", " ")</f>
        <v xml:space="preserve"> </v>
      </c>
      <c r="H77" s="42"/>
      <c r="I77" s="42"/>
      <c r="J77" s="42"/>
      <c r="K77" s="9"/>
      <c r="L77" s="9"/>
      <c r="M77" s="9"/>
      <c r="N77" s="24"/>
      <c r="O77" s="53"/>
      <c r="P77" s="53"/>
      <c r="Q77" s="39" t="str">
        <f>IF(Sheet1!C7="","",Sheet1!C7)</f>
        <v/>
      </c>
    </row>
    <row r="78" spans="1:17" ht="15.75">
      <c r="A78" s="58"/>
      <c r="B78" s="43"/>
      <c r="C78" s="44"/>
      <c r="D78" s="45"/>
      <c r="E78" s="45"/>
      <c r="F78" s="10"/>
      <c r="G78" s="46" t="s">
        <v>16</v>
      </c>
      <c r="H78" s="46"/>
      <c r="I78" s="47" t="str">
        <f>CONCATENATE((Sheet1!H7)," of ", (Sheet1!I7))</f>
        <v xml:space="preserve"> of </v>
      </c>
      <c r="J78" s="47"/>
      <c r="K78" s="10"/>
      <c r="L78" s="23" t="s">
        <v>15</v>
      </c>
      <c r="M78" s="55" t="str">
        <f>IF(Sheet1!D7="","",Sheet1!D7)</f>
        <v/>
      </c>
      <c r="N78" s="55"/>
      <c r="O78" s="53"/>
      <c r="P78" s="53"/>
      <c r="Q78" s="39"/>
    </row>
    <row r="79" spans="1:17" ht="15.75">
      <c r="A79" s="58"/>
      <c r="B79" s="43"/>
      <c r="C79" s="44"/>
      <c r="D79" s="45"/>
      <c r="E79" s="45"/>
      <c r="F79" s="10"/>
      <c r="G79" s="46" t="s">
        <v>18</v>
      </c>
      <c r="H79" s="46"/>
      <c r="I79" s="46" t="str">
        <f>IF(Sheet1!J7="","",Sheet1!J7)</f>
        <v/>
      </c>
      <c r="J79" s="46"/>
      <c r="K79" s="10"/>
      <c r="L79" s="23" t="s">
        <v>17</v>
      </c>
      <c r="M79" s="56" t="str">
        <f>IF(Sheet1!E7="","",Sheet1!E7)</f>
        <v/>
      </c>
      <c r="N79" s="56"/>
      <c r="O79" s="53"/>
      <c r="P79" s="53"/>
      <c r="Q79" s="39"/>
    </row>
    <row r="80" spans="1:17" ht="19.5" customHeight="1" thickBot="1">
      <c r="A80" s="58"/>
      <c r="B80" s="59"/>
      <c r="C80" s="60"/>
      <c r="D80" s="61"/>
      <c r="E80" s="61"/>
      <c r="F80" s="34"/>
      <c r="G80" s="62" t="s">
        <v>20</v>
      </c>
      <c r="H80" s="62"/>
      <c r="I80" s="62" t="str">
        <f>IF(Sheet1!K7="","",Sheet1!K7)</f>
        <v/>
      </c>
      <c r="J80" s="62"/>
      <c r="K80" s="34"/>
      <c r="L80" s="35" t="s">
        <v>19</v>
      </c>
      <c r="M80" s="57" t="str">
        <f>IF(ISERROR(M79-M78),"",M79-M78)</f>
        <v/>
      </c>
      <c r="N80" s="57"/>
      <c r="O80" s="54"/>
      <c r="P80" s="54"/>
      <c r="Q80" s="40"/>
    </row>
    <row r="81" spans="1:17" ht="15.75" customHeight="1">
      <c r="A81" s="58"/>
      <c r="B81" s="25"/>
      <c r="C81" s="48" t="str">
        <f>IF(Sheet1!F8="","",Sheet1!F8)</f>
        <v/>
      </c>
      <c r="D81" s="48"/>
      <c r="E81" s="48"/>
      <c r="F81" s="26"/>
      <c r="G81" s="26"/>
      <c r="H81" s="49" t="str">
        <f>IF((Sheet1!M8="CLOSED CAPTION"), "CC", " ")</f>
        <v xml:space="preserve"> </v>
      </c>
      <c r="I81" s="49"/>
      <c r="J81" s="26"/>
      <c r="K81" s="27"/>
      <c r="L81" s="27"/>
      <c r="M81" s="50" t="str">
        <f>IF(Sheet1!C8="","",Sheet1!C8)</f>
        <v/>
      </c>
      <c r="N81" s="51"/>
      <c r="O81" s="52" t="str">
        <f>CONCATENATE((Sheet1!G8), ": ",(Sheet1!A8))</f>
        <v xml:space="preserve">: </v>
      </c>
      <c r="P81" s="52"/>
      <c r="Q81" s="28"/>
    </row>
    <row r="82" spans="1:17" ht="15.75" customHeight="1">
      <c r="A82" s="58"/>
      <c r="B82" s="29"/>
      <c r="C82" s="63" t="str">
        <f>CONCATENATE((Sheet1!G8), ": ",(Sheet1!A8))</f>
        <v xml:space="preserve">: </v>
      </c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4"/>
      <c r="O82" s="53"/>
      <c r="P82" s="53"/>
      <c r="Q82" s="38" t="str">
        <f>IF(Sheet1!F8="","",Sheet1!F8)</f>
        <v/>
      </c>
    </row>
    <row r="83" spans="1:17" ht="9.75" customHeight="1">
      <c r="A83" s="58"/>
      <c r="B83" s="31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4"/>
      <c r="O83" s="53"/>
      <c r="P83" s="53"/>
      <c r="Q83" s="38"/>
    </row>
    <row r="84" spans="1:17" ht="11.25" customHeight="1">
      <c r="A84" s="58"/>
      <c r="B84" s="31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4"/>
      <c r="O84" s="53"/>
      <c r="P84" s="53"/>
      <c r="Q84" s="38"/>
    </row>
    <row r="85" spans="1:17" ht="15.75" customHeight="1">
      <c r="A85" s="58"/>
      <c r="B85" s="32"/>
      <c r="C85" s="65" t="str">
        <f>IF(Sheet1!B8="","",Sheet1!B8)</f>
        <v/>
      </c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6"/>
      <c r="O85" s="53"/>
      <c r="P85" s="53"/>
      <c r="Q85" s="38"/>
    </row>
    <row r="86" spans="1:17" ht="10.5" customHeight="1">
      <c r="A86" s="58"/>
      <c r="B86" s="31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6"/>
      <c r="O86" s="53"/>
      <c r="P86" s="53"/>
      <c r="Q86" s="38" t="str">
        <f>IF((Sheet1!M8="CLOSED CAPTION"), "CC", " ")</f>
        <v xml:space="preserve"> </v>
      </c>
    </row>
    <row r="87" spans="1:17" ht="12" customHeight="1">
      <c r="A87" s="58"/>
      <c r="B87" s="31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6"/>
      <c r="O87" s="53"/>
      <c r="P87" s="53"/>
      <c r="Q87" s="38"/>
    </row>
    <row r="88" spans="1:17" ht="15" customHeight="1">
      <c r="A88" s="58"/>
      <c r="B88" s="32"/>
      <c r="C88" s="6"/>
      <c r="D88" s="7"/>
      <c r="E88" s="6"/>
      <c r="F88" s="6"/>
      <c r="G88" s="6"/>
      <c r="H88" s="6"/>
      <c r="I88" s="6"/>
      <c r="J88" s="6"/>
      <c r="K88" s="6"/>
      <c r="L88" s="6"/>
      <c r="M88" s="6"/>
      <c r="N88" s="24"/>
      <c r="O88" s="53"/>
      <c r="P88" s="53"/>
      <c r="Q88" s="38" t="str">
        <f>CONCATENATE((Sheet1!H8)," of ", (Sheet1!I8))</f>
        <v xml:space="preserve"> of </v>
      </c>
    </row>
    <row r="89" spans="1:17" ht="21.75" customHeight="1">
      <c r="A89" s="58"/>
      <c r="B89" s="31"/>
      <c r="C89" s="18"/>
      <c r="D89" s="6"/>
      <c r="E89" s="6"/>
      <c r="F89" s="6"/>
      <c r="G89" s="6"/>
      <c r="H89" s="6"/>
      <c r="I89" s="6"/>
      <c r="J89" s="6"/>
      <c r="K89" s="6"/>
      <c r="L89" s="6"/>
      <c r="M89" s="6"/>
      <c r="N89" s="24"/>
      <c r="O89" s="53"/>
      <c r="P89" s="53"/>
      <c r="Q89" s="38"/>
    </row>
    <row r="90" spans="1:17" ht="15.75" customHeight="1">
      <c r="A90" s="58"/>
      <c r="B90" s="43"/>
      <c r="C90" s="44"/>
      <c r="D90" s="44"/>
      <c r="E90" s="44"/>
      <c r="F90" s="8"/>
      <c r="G90" s="42" t="str">
        <f>IF((Sheet1!L8="EVERGREEN"), "EVERGREEN", " ")</f>
        <v xml:space="preserve"> </v>
      </c>
      <c r="H90" s="42"/>
      <c r="I90" s="42"/>
      <c r="J90" s="42"/>
      <c r="K90" s="9"/>
      <c r="L90" s="9"/>
      <c r="M90" s="9"/>
      <c r="N90" s="24"/>
      <c r="O90" s="53"/>
      <c r="P90" s="53"/>
      <c r="Q90" s="39" t="str">
        <f>IF(Sheet1!C8="","",Sheet1!C8)</f>
        <v/>
      </c>
    </row>
    <row r="91" spans="1:17" ht="15.75">
      <c r="A91" s="58"/>
      <c r="B91" s="43"/>
      <c r="C91" s="44"/>
      <c r="D91" s="45"/>
      <c r="E91" s="45"/>
      <c r="F91" s="10"/>
      <c r="G91" s="46" t="s">
        <v>16</v>
      </c>
      <c r="H91" s="46"/>
      <c r="I91" s="47" t="str">
        <f>CONCATENATE((Sheet1!H8)," of ", (Sheet1!I8))</f>
        <v xml:space="preserve"> of </v>
      </c>
      <c r="J91" s="47"/>
      <c r="K91" s="10"/>
      <c r="L91" s="23" t="s">
        <v>15</v>
      </c>
      <c r="M91" s="55" t="str">
        <f>IF(Sheet1!D8="","",Sheet1!D8)</f>
        <v/>
      </c>
      <c r="N91" s="55"/>
      <c r="O91" s="53"/>
      <c r="P91" s="53"/>
      <c r="Q91" s="39"/>
    </row>
    <row r="92" spans="1:17" ht="15.75">
      <c r="A92" s="58"/>
      <c r="B92" s="43"/>
      <c r="C92" s="44"/>
      <c r="D92" s="45"/>
      <c r="E92" s="45"/>
      <c r="F92" s="10"/>
      <c r="G92" s="46" t="s">
        <v>18</v>
      </c>
      <c r="H92" s="46"/>
      <c r="I92" s="46" t="str">
        <f>IF(Sheet1!J8="","",Sheet1!J8)</f>
        <v/>
      </c>
      <c r="J92" s="46"/>
      <c r="K92" s="10"/>
      <c r="L92" s="23" t="s">
        <v>17</v>
      </c>
      <c r="M92" s="56" t="str">
        <f>IF(Sheet1!E8="","",Sheet1!E8)</f>
        <v/>
      </c>
      <c r="N92" s="56"/>
      <c r="O92" s="53"/>
      <c r="P92" s="53"/>
      <c r="Q92" s="39"/>
    </row>
    <row r="93" spans="1:17" ht="14.25" customHeight="1" thickBot="1">
      <c r="A93" s="58"/>
      <c r="B93" s="59"/>
      <c r="C93" s="60"/>
      <c r="D93" s="61"/>
      <c r="E93" s="61"/>
      <c r="F93" s="34"/>
      <c r="G93" s="62" t="s">
        <v>20</v>
      </c>
      <c r="H93" s="62"/>
      <c r="I93" s="62" t="str">
        <f>IF(Sheet1!K8="","",Sheet1!K8)</f>
        <v/>
      </c>
      <c r="J93" s="62"/>
      <c r="K93" s="34"/>
      <c r="L93" s="35" t="s">
        <v>19</v>
      </c>
      <c r="M93" s="57" t="str">
        <f>IF(ISERROR(M92-M91),"",M92-M91)</f>
        <v/>
      </c>
      <c r="N93" s="57"/>
      <c r="O93" s="54"/>
      <c r="P93" s="54"/>
      <c r="Q93" s="40"/>
    </row>
    <row r="94" spans="1:17" ht="15.75" customHeight="1">
      <c r="A94" s="58"/>
      <c r="B94" s="25"/>
      <c r="C94" s="48" t="str">
        <f>IF(Sheet1!F9="","",Sheet1!F9)</f>
        <v/>
      </c>
      <c r="D94" s="48"/>
      <c r="E94" s="48"/>
      <c r="F94" s="26"/>
      <c r="G94" s="26"/>
      <c r="H94" s="49" t="str">
        <f>IF((Sheet1!M9="CLOSED CAPTION"), "CC", " ")</f>
        <v xml:space="preserve"> </v>
      </c>
      <c r="I94" s="49"/>
      <c r="J94" s="26"/>
      <c r="K94" s="27"/>
      <c r="L94" s="27"/>
      <c r="M94" s="50" t="str">
        <f>IF(Sheet1!C9="","",Sheet1!C9)</f>
        <v/>
      </c>
      <c r="N94" s="51"/>
      <c r="O94" s="52" t="str">
        <f>CONCATENATE((Sheet1!G9), ": ",(Sheet1!A9))</f>
        <v xml:space="preserve">: </v>
      </c>
      <c r="P94" s="52"/>
      <c r="Q94" s="28"/>
    </row>
    <row r="95" spans="1:17" ht="15.75" customHeight="1">
      <c r="A95" s="58"/>
      <c r="B95" s="29"/>
      <c r="C95" s="63" t="str">
        <f>CONCATENATE((Sheet1!G9), ": ",(Sheet1!A9))</f>
        <v xml:space="preserve">: </v>
      </c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4"/>
      <c r="O95" s="53"/>
      <c r="P95" s="53"/>
      <c r="Q95" s="38" t="str">
        <f>IF(Sheet1!F9="","",Sheet1!F9)</f>
        <v/>
      </c>
    </row>
    <row r="96" spans="1:17" ht="9.75" customHeight="1">
      <c r="A96" s="58"/>
      <c r="B96" s="31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4"/>
      <c r="O96" s="53"/>
      <c r="P96" s="53"/>
      <c r="Q96" s="38"/>
    </row>
    <row r="97" spans="1:17" ht="11.25" customHeight="1">
      <c r="A97" s="58"/>
      <c r="B97" s="31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4"/>
      <c r="O97" s="53"/>
      <c r="P97" s="53"/>
      <c r="Q97" s="38"/>
    </row>
    <row r="98" spans="1:17" ht="15.75" customHeight="1">
      <c r="A98" s="58"/>
      <c r="B98" s="32"/>
      <c r="C98" s="65" t="str">
        <f>IF(Sheet1!B9="","",Sheet1!B9)</f>
        <v/>
      </c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6"/>
      <c r="O98" s="53"/>
      <c r="P98" s="53"/>
      <c r="Q98" s="38"/>
    </row>
    <row r="99" spans="1:17" ht="10.5" customHeight="1">
      <c r="A99" s="58"/>
      <c r="B99" s="31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6"/>
      <c r="O99" s="53"/>
      <c r="P99" s="53"/>
      <c r="Q99" s="38" t="str">
        <f>IF((Sheet1!M9="CLOSED CAPTION"), "CC", " ")</f>
        <v xml:space="preserve"> </v>
      </c>
    </row>
    <row r="100" spans="1:17" ht="17.25" customHeight="1">
      <c r="A100" s="58"/>
      <c r="B100" s="31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6"/>
      <c r="O100" s="53"/>
      <c r="P100" s="53"/>
      <c r="Q100" s="38"/>
    </row>
    <row r="101" spans="1:17" ht="15" customHeight="1">
      <c r="A101" s="58"/>
      <c r="B101" s="32"/>
      <c r="C101" s="6"/>
      <c r="D101" s="7"/>
      <c r="E101" s="6"/>
      <c r="F101" s="6"/>
      <c r="G101" s="6"/>
      <c r="H101" s="6"/>
      <c r="I101" s="6"/>
      <c r="J101" s="6"/>
      <c r="K101" s="6"/>
      <c r="L101" s="6"/>
      <c r="M101" s="6"/>
      <c r="N101" s="24"/>
      <c r="O101" s="53"/>
      <c r="P101" s="53"/>
      <c r="Q101" s="38" t="str">
        <f>CONCATENATE((Sheet1!H9)," of ", (Sheet1!I9))</f>
        <v xml:space="preserve"> of </v>
      </c>
    </row>
    <row r="102" spans="1:17" ht="21.75" customHeight="1">
      <c r="A102" s="58"/>
      <c r="B102" s="31"/>
      <c r="C102" s="18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24"/>
      <c r="O102" s="53"/>
      <c r="P102" s="53"/>
      <c r="Q102" s="38"/>
    </row>
    <row r="103" spans="1:17" ht="15.75" customHeight="1">
      <c r="A103" s="58"/>
      <c r="B103" s="43"/>
      <c r="C103" s="44"/>
      <c r="D103" s="44"/>
      <c r="E103" s="44"/>
      <c r="F103" s="8"/>
      <c r="G103" s="42" t="str">
        <f>IF((Sheet1!L9="EVERGREEN"), "EVERGREEN", " ")</f>
        <v xml:space="preserve"> </v>
      </c>
      <c r="H103" s="42"/>
      <c r="I103" s="42"/>
      <c r="J103" s="42"/>
      <c r="K103" s="9"/>
      <c r="L103" s="9"/>
      <c r="M103" s="9"/>
      <c r="N103" s="24"/>
      <c r="O103" s="53"/>
      <c r="P103" s="53"/>
      <c r="Q103" s="39" t="str">
        <f>IF(Sheet1!C9="","",Sheet1!C9)</f>
        <v/>
      </c>
    </row>
    <row r="104" spans="1:17" ht="15.75">
      <c r="A104" s="58"/>
      <c r="B104" s="43"/>
      <c r="C104" s="44"/>
      <c r="D104" s="45"/>
      <c r="E104" s="45"/>
      <c r="F104" s="10"/>
      <c r="G104" s="46" t="s">
        <v>16</v>
      </c>
      <c r="H104" s="46"/>
      <c r="I104" s="47" t="str">
        <f>CONCATENATE((Sheet1!H9)," of ", (Sheet1!I9))</f>
        <v xml:space="preserve"> of </v>
      </c>
      <c r="J104" s="47"/>
      <c r="K104" s="10"/>
      <c r="L104" s="23" t="s">
        <v>15</v>
      </c>
      <c r="M104" s="55" t="str">
        <f>IF(Sheet1!D9="","",Sheet1!D9)</f>
        <v/>
      </c>
      <c r="N104" s="55"/>
      <c r="O104" s="53"/>
      <c r="P104" s="53"/>
      <c r="Q104" s="39"/>
    </row>
    <row r="105" spans="1:17" ht="15.75">
      <c r="A105" s="58"/>
      <c r="B105" s="43"/>
      <c r="C105" s="44"/>
      <c r="D105" s="45"/>
      <c r="E105" s="45"/>
      <c r="F105" s="10"/>
      <c r="G105" s="46" t="s">
        <v>18</v>
      </c>
      <c r="H105" s="46"/>
      <c r="I105" s="46" t="str">
        <f>IF(Sheet1!J9="","",Sheet1!J9)</f>
        <v/>
      </c>
      <c r="J105" s="46"/>
      <c r="K105" s="10"/>
      <c r="L105" s="23" t="s">
        <v>17</v>
      </c>
      <c r="M105" s="56" t="str">
        <f>IF(Sheet1!E9="","",Sheet1!E9)</f>
        <v/>
      </c>
      <c r="N105" s="56"/>
      <c r="O105" s="53"/>
      <c r="P105" s="53"/>
      <c r="Q105" s="39"/>
    </row>
    <row r="106" spans="1:17" ht="14.25" customHeight="1" thickBot="1">
      <c r="A106" s="58"/>
      <c r="B106" s="59"/>
      <c r="C106" s="60"/>
      <c r="D106" s="61"/>
      <c r="E106" s="61"/>
      <c r="F106" s="34"/>
      <c r="G106" s="62" t="s">
        <v>20</v>
      </c>
      <c r="H106" s="62"/>
      <c r="I106" s="62" t="str">
        <f>IF(Sheet1!K9="","",Sheet1!K9)</f>
        <v/>
      </c>
      <c r="J106" s="62"/>
      <c r="K106" s="34"/>
      <c r="L106" s="35" t="s">
        <v>19</v>
      </c>
      <c r="M106" s="57" t="str">
        <f>IF(ISERROR(M105-M104),"",M105-M104)</f>
        <v/>
      </c>
      <c r="N106" s="57"/>
      <c r="O106" s="54"/>
      <c r="P106" s="54"/>
      <c r="Q106" s="40"/>
    </row>
    <row r="107" spans="1:17" ht="15.75" thickBot="1">
      <c r="A107" s="21"/>
    </row>
    <row r="108" spans="1:17" ht="15.75" customHeight="1">
      <c r="A108" s="58"/>
      <c r="B108" s="25"/>
      <c r="C108" s="48" t="str">
        <f>IF(Sheet1!F10="","",Sheet1!F10)</f>
        <v/>
      </c>
      <c r="D108" s="48"/>
      <c r="E108" s="48"/>
      <c r="F108" s="26"/>
      <c r="G108" s="26"/>
      <c r="H108" s="49" t="str">
        <f>IF((Sheet1!M10="CLOSED CAPTION"), "CC", " ")</f>
        <v xml:space="preserve"> </v>
      </c>
      <c r="I108" s="49"/>
      <c r="J108" s="26"/>
      <c r="K108" s="27"/>
      <c r="L108" s="27"/>
      <c r="M108" s="50" t="str">
        <f>IF(Sheet1!C10="","",Sheet1!C10)</f>
        <v/>
      </c>
      <c r="N108" s="51"/>
      <c r="O108" s="52" t="str">
        <f>CONCATENATE((Sheet1!G10), ": ",(Sheet1!A10))</f>
        <v xml:space="preserve">: </v>
      </c>
      <c r="P108" s="52"/>
      <c r="Q108" s="28"/>
    </row>
    <row r="109" spans="1:17" ht="15" customHeight="1">
      <c r="A109" s="58"/>
      <c r="B109" s="29"/>
      <c r="C109" s="63" t="str">
        <f>CONCATENATE((Sheet1!G10), ": ",(Sheet1!A10))</f>
        <v xml:space="preserve">: </v>
      </c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4"/>
      <c r="O109" s="53"/>
      <c r="P109" s="53"/>
      <c r="Q109" s="38" t="str">
        <f>IF(Sheet1!F10="","",Sheet1!F10)</f>
        <v/>
      </c>
    </row>
    <row r="110" spans="1:17" ht="9.75" customHeight="1">
      <c r="A110" s="58"/>
      <c r="B110" s="31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4"/>
      <c r="O110" s="53"/>
      <c r="P110" s="53"/>
      <c r="Q110" s="38"/>
    </row>
    <row r="111" spans="1:17" ht="11.25" customHeight="1">
      <c r="A111" s="58"/>
      <c r="B111" s="31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4"/>
      <c r="O111" s="53"/>
      <c r="P111" s="53"/>
      <c r="Q111" s="38"/>
    </row>
    <row r="112" spans="1:17" ht="15" customHeight="1">
      <c r="A112" s="58"/>
      <c r="B112" s="32"/>
      <c r="C112" s="65" t="str">
        <f>IF(Sheet1!B10="","",Sheet1!B10)</f>
        <v/>
      </c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6"/>
      <c r="O112" s="53"/>
      <c r="P112" s="53"/>
      <c r="Q112" s="38"/>
    </row>
    <row r="113" spans="1:17" ht="10.5" customHeight="1">
      <c r="A113" s="58"/>
      <c r="B113" s="31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6"/>
      <c r="O113" s="53"/>
      <c r="P113" s="53"/>
      <c r="Q113" s="38" t="str">
        <f>IF((Sheet1!M10="CLOSED CAPTION"), "CC", " ")</f>
        <v xml:space="preserve"> </v>
      </c>
    </row>
    <row r="114" spans="1:17" ht="12.75" customHeight="1">
      <c r="A114" s="58"/>
      <c r="B114" s="31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6"/>
      <c r="O114" s="53"/>
      <c r="P114" s="53"/>
      <c r="Q114" s="38"/>
    </row>
    <row r="115" spans="1:17" ht="15.75" customHeight="1">
      <c r="A115" s="58"/>
      <c r="B115" s="32"/>
      <c r="C115" s="6"/>
      <c r="D115" s="7"/>
      <c r="E115" s="6"/>
      <c r="F115" s="6"/>
      <c r="G115" s="6"/>
      <c r="H115" s="6"/>
      <c r="I115" s="6"/>
      <c r="J115" s="6"/>
      <c r="K115" s="6"/>
      <c r="L115" s="6"/>
      <c r="M115" s="6"/>
      <c r="N115" s="24"/>
      <c r="O115" s="53"/>
      <c r="P115" s="53"/>
      <c r="Q115" s="38" t="str">
        <f>CONCATENATE((Sheet1!H10)," of ", (Sheet1!I10))</f>
        <v xml:space="preserve"> of </v>
      </c>
    </row>
    <row r="116" spans="1:17" ht="21.75" customHeight="1">
      <c r="A116" s="58"/>
      <c r="B116" s="31"/>
      <c r="C116" s="18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24"/>
      <c r="O116" s="53"/>
      <c r="P116" s="53"/>
      <c r="Q116" s="38"/>
    </row>
    <row r="117" spans="1:17" ht="15.75" customHeight="1">
      <c r="A117" s="58"/>
      <c r="B117" s="43"/>
      <c r="C117" s="44"/>
      <c r="D117" s="44"/>
      <c r="E117" s="44"/>
      <c r="F117" s="8"/>
      <c r="G117" s="42" t="str">
        <f>IF((Sheet1!L10="EVERGREEN"), "EVERGREEN", " ")</f>
        <v xml:space="preserve"> </v>
      </c>
      <c r="H117" s="42"/>
      <c r="I117" s="42"/>
      <c r="J117" s="42"/>
      <c r="K117" s="9"/>
      <c r="L117" s="9"/>
      <c r="M117" s="9"/>
      <c r="N117" s="24"/>
      <c r="O117" s="53"/>
      <c r="P117" s="53"/>
      <c r="Q117" s="39" t="str">
        <f>IF(Sheet1!C10="","",Sheet1!C10)</f>
        <v/>
      </c>
    </row>
    <row r="118" spans="1:17" ht="15.75">
      <c r="A118" s="58"/>
      <c r="B118" s="43"/>
      <c r="C118" s="44"/>
      <c r="D118" s="45"/>
      <c r="E118" s="45"/>
      <c r="F118" s="10"/>
      <c r="G118" s="46" t="s">
        <v>16</v>
      </c>
      <c r="H118" s="46"/>
      <c r="I118" s="47" t="str">
        <f>CONCATENATE((Sheet1!H10)," of ", (Sheet1!I10))</f>
        <v xml:space="preserve"> of </v>
      </c>
      <c r="J118" s="47"/>
      <c r="K118" s="10"/>
      <c r="L118" s="23" t="s">
        <v>15</v>
      </c>
      <c r="M118" s="55" t="str">
        <f>IF(Sheet1!D10="","",Sheet1!D10)</f>
        <v/>
      </c>
      <c r="N118" s="55"/>
      <c r="O118" s="53"/>
      <c r="P118" s="53"/>
      <c r="Q118" s="39"/>
    </row>
    <row r="119" spans="1:17" ht="15.75">
      <c r="A119" s="58"/>
      <c r="B119" s="43"/>
      <c r="C119" s="44"/>
      <c r="D119" s="45"/>
      <c r="E119" s="45"/>
      <c r="F119" s="10"/>
      <c r="G119" s="46" t="s">
        <v>18</v>
      </c>
      <c r="H119" s="46"/>
      <c r="I119" s="46" t="str">
        <f>IF(Sheet1!J10="","",Sheet1!J10)</f>
        <v/>
      </c>
      <c r="J119" s="46"/>
      <c r="K119" s="10"/>
      <c r="L119" s="23" t="s">
        <v>17</v>
      </c>
      <c r="M119" s="56" t="str">
        <f>IF(Sheet1!E10="","",Sheet1!E10)</f>
        <v/>
      </c>
      <c r="N119" s="56"/>
      <c r="O119" s="53"/>
      <c r="P119" s="53"/>
      <c r="Q119" s="39"/>
    </row>
    <row r="120" spans="1:17" ht="14.25" customHeight="1" thickBot="1">
      <c r="A120" s="58"/>
      <c r="B120" s="59"/>
      <c r="C120" s="60"/>
      <c r="D120" s="61"/>
      <c r="E120" s="61"/>
      <c r="F120" s="34"/>
      <c r="G120" s="62" t="s">
        <v>20</v>
      </c>
      <c r="H120" s="62"/>
      <c r="I120" s="62" t="str">
        <f>IF(Sheet1!K10="","",Sheet1!K10)</f>
        <v/>
      </c>
      <c r="J120" s="62"/>
      <c r="K120" s="34"/>
      <c r="L120" s="35" t="s">
        <v>19</v>
      </c>
      <c r="M120" s="57" t="str">
        <f>IF(ISERROR(M119-M118),"",M119-M118)</f>
        <v/>
      </c>
      <c r="N120" s="57"/>
      <c r="O120" s="54"/>
      <c r="P120" s="54"/>
      <c r="Q120" s="40"/>
    </row>
    <row r="121" spans="1:17" ht="15.75" customHeight="1">
      <c r="A121" s="58"/>
      <c r="B121" s="25"/>
      <c r="C121" s="48" t="str">
        <f>IF(Sheet1!F11="","",Sheet1!F11)</f>
        <v/>
      </c>
      <c r="D121" s="48"/>
      <c r="E121" s="48"/>
      <c r="F121" s="26"/>
      <c r="G121" s="26"/>
      <c r="H121" s="49" t="str">
        <f>IF((Sheet1!M11="CLOSED CAPTION"), "CC", " ")</f>
        <v xml:space="preserve"> </v>
      </c>
      <c r="I121" s="49"/>
      <c r="J121" s="26"/>
      <c r="K121" s="27"/>
      <c r="L121" s="27"/>
      <c r="M121" s="50" t="str">
        <f>IF(Sheet1!C11="","",Sheet1!C11)</f>
        <v/>
      </c>
      <c r="N121" s="51"/>
      <c r="O121" s="52" t="str">
        <f>CONCATENATE((Sheet1!G11), ": ",(Sheet1!A11))</f>
        <v xml:space="preserve">: </v>
      </c>
      <c r="P121" s="52"/>
      <c r="Q121" s="28"/>
    </row>
    <row r="122" spans="1:17" ht="15" customHeight="1">
      <c r="A122" s="58"/>
      <c r="B122" s="29"/>
      <c r="C122" s="63" t="str">
        <f>CONCATENATE((Sheet1!G11), ": ",(Sheet1!A11))</f>
        <v xml:space="preserve">: </v>
      </c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4"/>
      <c r="O122" s="53"/>
      <c r="P122" s="53"/>
      <c r="Q122" s="38" t="str">
        <f>IF(Sheet1!F11="","",Sheet1!F11)</f>
        <v/>
      </c>
    </row>
    <row r="123" spans="1:17" ht="9.75" customHeight="1">
      <c r="A123" s="58"/>
      <c r="B123" s="31"/>
      <c r="C123" s="63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4"/>
      <c r="O123" s="53"/>
      <c r="P123" s="53"/>
      <c r="Q123" s="38"/>
    </row>
    <row r="124" spans="1:17" ht="11.25" customHeight="1">
      <c r="A124" s="58"/>
      <c r="B124" s="31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4"/>
      <c r="O124" s="53"/>
      <c r="P124" s="53"/>
      <c r="Q124" s="38"/>
    </row>
    <row r="125" spans="1:17" ht="15" customHeight="1">
      <c r="A125" s="58"/>
      <c r="B125" s="32"/>
      <c r="C125" s="65" t="str">
        <f>IF(Sheet1!B11="","",Sheet1!B11)</f>
        <v/>
      </c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6"/>
      <c r="O125" s="53"/>
      <c r="P125" s="53"/>
      <c r="Q125" s="38"/>
    </row>
    <row r="126" spans="1:17" ht="10.5" customHeight="1">
      <c r="A126" s="58"/>
      <c r="B126" s="31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6"/>
      <c r="O126" s="53"/>
      <c r="P126" s="53"/>
      <c r="Q126" s="38" t="str">
        <f>IF((Sheet1!M11="CLOSED CAPTION"), "CC", " ")</f>
        <v xml:space="preserve"> </v>
      </c>
    </row>
    <row r="127" spans="1:17" ht="12.75" customHeight="1">
      <c r="A127" s="58"/>
      <c r="B127" s="31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6"/>
      <c r="O127" s="53"/>
      <c r="P127" s="53"/>
      <c r="Q127" s="38"/>
    </row>
    <row r="128" spans="1:17" ht="15.75" customHeight="1">
      <c r="A128" s="58"/>
      <c r="B128" s="32"/>
      <c r="C128" s="6"/>
      <c r="D128" s="7"/>
      <c r="E128" s="6"/>
      <c r="F128" s="6"/>
      <c r="G128" s="6"/>
      <c r="H128" s="6"/>
      <c r="I128" s="6"/>
      <c r="J128" s="6"/>
      <c r="K128" s="6"/>
      <c r="L128" s="6"/>
      <c r="M128" s="6"/>
      <c r="N128" s="24"/>
      <c r="O128" s="53"/>
      <c r="P128" s="53"/>
      <c r="Q128" s="38" t="str">
        <f>CONCATENATE((Sheet1!H11)," of ", (Sheet1!I11))</f>
        <v xml:space="preserve"> of </v>
      </c>
    </row>
    <row r="129" spans="1:17" ht="21.75" customHeight="1">
      <c r="A129" s="58"/>
      <c r="B129" s="31"/>
      <c r="C129" s="18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24"/>
      <c r="O129" s="53"/>
      <c r="P129" s="53"/>
      <c r="Q129" s="38"/>
    </row>
    <row r="130" spans="1:17" ht="15.75" customHeight="1">
      <c r="A130" s="58"/>
      <c r="B130" s="43"/>
      <c r="C130" s="44"/>
      <c r="D130" s="44"/>
      <c r="E130" s="44"/>
      <c r="F130" s="8"/>
      <c r="G130" s="42" t="str">
        <f>IF((Sheet1!L11="EVERGREEN"), "EVERGREEN", " ")</f>
        <v xml:space="preserve"> </v>
      </c>
      <c r="H130" s="42"/>
      <c r="I130" s="42"/>
      <c r="J130" s="42"/>
      <c r="K130" s="9"/>
      <c r="L130" s="9"/>
      <c r="M130" s="9"/>
      <c r="N130" s="24"/>
      <c r="O130" s="53"/>
      <c r="P130" s="53"/>
      <c r="Q130" s="39" t="str">
        <f>IF(Sheet1!C11="","",Sheet1!C11)</f>
        <v/>
      </c>
    </row>
    <row r="131" spans="1:17" ht="15.75">
      <c r="A131" s="58"/>
      <c r="B131" s="43"/>
      <c r="C131" s="44"/>
      <c r="D131" s="45"/>
      <c r="E131" s="45"/>
      <c r="F131" s="10"/>
      <c r="G131" s="46" t="s">
        <v>16</v>
      </c>
      <c r="H131" s="46"/>
      <c r="I131" s="47" t="str">
        <f>CONCATENATE((Sheet1!H11)," of ", (Sheet1!I11))</f>
        <v xml:space="preserve"> of </v>
      </c>
      <c r="J131" s="47"/>
      <c r="K131" s="10"/>
      <c r="L131" s="23" t="s">
        <v>15</v>
      </c>
      <c r="M131" s="55" t="str">
        <f>IF(Sheet1!D11="","",Sheet1!D11)</f>
        <v/>
      </c>
      <c r="N131" s="55"/>
      <c r="O131" s="53"/>
      <c r="P131" s="53"/>
      <c r="Q131" s="39"/>
    </row>
    <row r="132" spans="1:17" ht="15.75">
      <c r="A132" s="58"/>
      <c r="B132" s="43"/>
      <c r="C132" s="44"/>
      <c r="D132" s="45"/>
      <c r="E132" s="45"/>
      <c r="F132" s="10"/>
      <c r="G132" s="46" t="s">
        <v>18</v>
      </c>
      <c r="H132" s="46"/>
      <c r="I132" s="46" t="str">
        <f>IF(Sheet1!J11="","",Sheet1!J11)</f>
        <v/>
      </c>
      <c r="J132" s="46"/>
      <c r="K132" s="10"/>
      <c r="L132" s="23" t="s">
        <v>17</v>
      </c>
      <c r="M132" s="56" t="str">
        <f>IF(Sheet1!E11="","",Sheet1!E11)</f>
        <v/>
      </c>
      <c r="N132" s="56"/>
      <c r="O132" s="53"/>
      <c r="P132" s="53"/>
      <c r="Q132" s="39"/>
    </row>
    <row r="133" spans="1:17" ht="14.25" customHeight="1" thickBot="1">
      <c r="A133" s="58"/>
      <c r="B133" s="59"/>
      <c r="C133" s="60"/>
      <c r="D133" s="61"/>
      <c r="E133" s="61"/>
      <c r="F133" s="34"/>
      <c r="G133" s="62" t="s">
        <v>20</v>
      </c>
      <c r="H133" s="62"/>
      <c r="I133" s="62" t="str">
        <f>IF(Sheet1!K11="","",Sheet1!K11)</f>
        <v/>
      </c>
      <c r="J133" s="62"/>
      <c r="K133" s="34"/>
      <c r="L133" s="35" t="s">
        <v>19</v>
      </c>
      <c r="M133" s="57" t="str">
        <f>IF(ISERROR(M132-M131),"",M132-M131)</f>
        <v/>
      </c>
      <c r="N133" s="57"/>
      <c r="O133" s="54"/>
      <c r="P133" s="54"/>
      <c r="Q133" s="40"/>
    </row>
    <row r="134" spans="1:17" ht="15.75" customHeight="1">
      <c r="A134" s="58"/>
      <c r="B134" s="25"/>
      <c r="C134" s="48" t="str">
        <f>IF(Sheet1!F12="","",Sheet1!F12)</f>
        <v/>
      </c>
      <c r="D134" s="48"/>
      <c r="E134" s="48"/>
      <c r="F134" s="26"/>
      <c r="G134" s="26"/>
      <c r="H134" s="49" t="str">
        <f>IF((Sheet1!M12="CLOSED CAPTION"), "CC", " ")</f>
        <v xml:space="preserve"> </v>
      </c>
      <c r="I134" s="49"/>
      <c r="J134" s="26"/>
      <c r="K134" s="27"/>
      <c r="L134" s="27"/>
      <c r="M134" s="50" t="str">
        <f>IF(Sheet1!C12="","",Sheet1!C12)</f>
        <v/>
      </c>
      <c r="N134" s="51"/>
      <c r="O134" s="52" t="str">
        <f>CONCATENATE((Sheet1!G12), ": ",(Sheet1!A12))</f>
        <v xml:space="preserve">: </v>
      </c>
      <c r="P134" s="52"/>
      <c r="Q134" s="28"/>
    </row>
    <row r="135" spans="1:17" ht="15" customHeight="1">
      <c r="A135" s="58"/>
      <c r="B135" s="29"/>
      <c r="C135" s="63" t="str">
        <f>CONCATENATE((Sheet1!G12), ": ",(Sheet1!A12))</f>
        <v xml:space="preserve">: </v>
      </c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4"/>
      <c r="O135" s="53"/>
      <c r="P135" s="53"/>
      <c r="Q135" s="38" t="str">
        <f>IF(Sheet1!F12="","",Sheet1!F12)</f>
        <v/>
      </c>
    </row>
    <row r="136" spans="1:17" ht="9.75" customHeight="1">
      <c r="A136" s="58"/>
      <c r="B136" s="31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4"/>
      <c r="O136" s="53"/>
      <c r="P136" s="53"/>
      <c r="Q136" s="38"/>
    </row>
    <row r="137" spans="1:17" ht="11.25" customHeight="1">
      <c r="A137" s="58"/>
      <c r="B137" s="31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4"/>
      <c r="O137" s="53"/>
      <c r="P137" s="53"/>
      <c r="Q137" s="38"/>
    </row>
    <row r="138" spans="1:17" ht="15" customHeight="1">
      <c r="A138" s="58"/>
      <c r="B138" s="32"/>
      <c r="C138" s="65" t="str">
        <f>IF(Sheet1!B12="","",Sheet1!B12)</f>
        <v/>
      </c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6"/>
      <c r="O138" s="53"/>
      <c r="P138" s="53"/>
      <c r="Q138" s="38"/>
    </row>
    <row r="139" spans="1:17" ht="10.5" customHeight="1">
      <c r="A139" s="58"/>
      <c r="B139" s="31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6"/>
      <c r="O139" s="53"/>
      <c r="P139" s="53"/>
      <c r="Q139" s="38" t="str">
        <f>IF((Sheet1!M12="CLOSED CAPTION"), "CC", " ")</f>
        <v xml:space="preserve"> </v>
      </c>
    </row>
    <row r="140" spans="1:17" ht="12.75" customHeight="1">
      <c r="A140" s="58"/>
      <c r="B140" s="31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6"/>
      <c r="O140" s="53"/>
      <c r="P140" s="53"/>
      <c r="Q140" s="38"/>
    </row>
    <row r="141" spans="1:17" ht="15.75" customHeight="1">
      <c r="A141" s="58"/>
      <c r="B141" s="32"/>
      <c r="C141" s="6"/>
      <c r="D141" s="7"/>
      <c r="E141" s="6"/>
      <c r="F141" s="6"/>
      <c r="G141" s="6"/>
      <c r="H141" s="6"/>
      <c r="I141" s="6"/>
      <c r="J141" s="6"/>
      <c r="K141" s="6"/>
      <c r="L141" s="6"/>
      <c r="M141" s="6"/>
      <c r="N141" s="24"/>
      <c r="O141" s="53"/>
      <c r="P141" s="53"/>
      <c r="Q141" s="38" t="str">
        <f>CONCATENATE((Sheet1!H12)," of ", (Sheet1!I12))</f>
        <v xml:space="preserve"> of </v>
      </c>
    </row>
    <row r="142" spans="1:17" ht="21.75" customHeight="1">
      <c r="A142" s="58"/>
      <c r="B142" s="31"/>
      <c r="C142" s="18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24"/>
      <c r="O142" s="53"/>
      <c r="P142" s="53"/>
      <c r="Q142" s="38"/>
    </row>
    <row r="143" spans="1:17" ht="15.75" customHeight="1">
      <c r="A143" s="58"/>
      <c r="B143" s="43"/>
      <c r="C143" s="44"/>
      <c r="D143" s="44"/>
      <c r="E143" s="44"/>
      <c r="F143" s="8"/>
      <c r="G143" s="42" t="str">
        <f>IF((Sheet1!L12="EVERGREEN"), "EVERGREEN", " ")</f>
        <v xml:space="preserve"> </v>
      </c>
      <c r="H143" s="42"/>
      <c r="I143" s="42"/>
      <c r="J143" s="42"/>
      <c r="K143" s="9"/>
      <c r="L143" s="9"/>
      <c r="M143" s="9"/>
      <c r="N143" s="24"/>
      <c r="O143" s="53"/>
      <c r="P143" s="53"/>
      <c r="Q143" s="39" t="str">
        <f>IF(Sheet1!C12="","",Sheet1!C12)</f>
        <v/>
      </c>
    </row>
    <row r="144" spans="1:17" ht="15.75">
      <c r="A144" s="58"/>
      <c r="B144" s="43"/>
      <c r="C144" s="44"/>
      <c r="D144" s="45"/>
      <c r="E144" s="45"/>
      <c r="F144" s="10"/>
      <c r="G144" s="46" t="s">
        <v>16</v>
      </c>
      <c r="H144" s="46"/>
      <c r="I144" s="47" t="str">
        <f>CONCATENATE((Sheet1!H12)," of ", (Sheet1!I12))</f>
        <v xml:space="preserve"> of </v>
      </c>
      <c r="J144" s="47"/>
      <c r="K144" s="10"/>
      <c r="L144" s="23" t="s">
        <v>15</v>
      </c>
      <c r="M144" s="55" t="str">
        <f>IF(Sheet1!D12="","",Sheet1!D12)</f>
        <v/>
      </c>
      <c r="N144" s="55"/>
      <c r="O144" s="53"/>
      <c r="P144" s="53"/>
      <c r="Q144" s="39"/>
    </row>
    <row r="145" spans="1:17" ht="15.75">
      <c r="A145" s="58"/>
      <c r="B145" s="43"/>
      <c r="C145" s="44"/>
      <c r="D145" s="45"/>
      <c r="E145" s="45"/>
      <c r="F145" s="10"/>
      <c r="G145" s="46" t="s">
        <v>18</v>
      </c>
      <c r="H145" s="46"/>
      <c r="I145" s="46" t="str">
        <f>IF(Sheet1!J12="","",Sheet1!J12)</f>
        <v/>
      </c>
      <c r="J145" s="46"/>
      <c r="K145" s="10"/>
      <c r="L145" s="23" t="s">
        <v>17</v>
      </c>
      <c r="M145" s="56" t="str">
        <f>IF(Sheet1!E12="","",Sheet1!E12)</f>
        <v/>
      </c>
      <c r="N145" s="56"/>
      <c r="O145" s="53"/>
      <c r="P145" s="53"/>
      <c r="Q145" s="39"/>
    </row>
    <row r="146" spans="1:17" ht="17.25" customHeight="1" thickBot="1">
      <c r="A146" s="58"/>
      <c r="B146" s="59"/>
      <c r="C146" s="60"/>
      <c r="D146" s="61"/>
      <c r="E146" s="61"/>
      <c r="F146" s="34"/>
      <c r="G146" s="62" t="s">
        <v>20</v>
      </c>
      <c r="H146" s="62"/>
      <c r="I146" s="62" t="str">
        <f>IF(Sheet1!K12="","",Sheet1!K12)</f>
        <v/>
      </c>
      <c r="J146" s="62"/>
      <c r="K146" s="34"/>
      <c r="L146" s="35" t="s">
        <v>19</v>
      </c>
      <c r="M146" s="57" t="str">
        <f>IF(ISERROR(M145-M144),"",M145-M144)</f>
        <v/>
      </c>
      <c r="N146" s="57"/>
      <c r="O146" s="54"/>
      <c r="P146" s="54"/>
      <c r="Q146" s="40"/>
    </row>
    <row r="147" spans="1:17" ht="15.75" customHeight="1">
      <c r="A147" s="58"/>
      <c r="B147" s="25"/>
      <c r="C147" s="48" t="str">
        <f>IF(Sheet1!F13="","",Sheet1!F13)</f>
        <v/>
      </c>
      <c r="D147" s="48"/>
      <c r="E147" s="48"/>
      <c r="F147" s="26"/>
      <c r="G147" s="26"/>
      <c r="H147" s="49" t="str">
        <f>IF((Sheet1!M13="CLOSED CAPTION"), "CC", " ")</f>
        <v xml:space="preserve"> </v>
      </c>
      <c r="I147" s="49"/>
      <c r="J147" s="26"/>
      <c r="K147" s="27"/>
      <c r="L147" s="27"/>
      <c r="M147" s="50" t="str">
        <f>IF(Sheet1!C13="","",Sheet1!C13)</f>
        <v/>
      </c>
      <c r="N147" s="51"/>
      <c r="O147" s="52" t="str">
        <f>CONCATENATE((Sheet1!G13), ": ",(Sheet1!A13))</f>
        <v xml:space="preserve">: </v>
      </c>
      <c r="P147" s="52"/>
      <c r="Q147" s="28"/>
    </row>
    <row r="148" spans="1:17" ht="15" customHeight="1">
      <c r="A148" s="58"/>
      <c r="B148" s="29"/>
      <c r="C148" s="63" t="str">
        <f>CONCATENATE((Sheet1!G13), ": ",(Sheet1!A13))</f>
        <v xml:space="preserve">: </v>
      </c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4"/>
      <c r="O148" s="53"/>
      <c r="P148" s="53"/>
      <c r="Q148" s="38" t="str">
        <f>IF(Sheet1!F13="","",Sheet1!F13)</f>
        <v/>
      </c>
    </row>
    <row r="149" spans="1:17" ht="9.75" customHeight="1">
      <c r="A149" s="58"/>
      <c r="B149" s="31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4"/>
      <c r="O149" s="53"/>
      <c r="P149" s="53"/>
      <c r="Q149" s="38"/>
    </row>
    <row r="150" spans="1:17" ht="11.25" customHeight="1">
      <c r="A150" s="58"/>
      <c r="B150" s="31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4"/>
      <c r="O150" s="53"/>
      <c r="P150" s="53"/>
      <c r="Q150" s="38"/>
    </row>
    <row r="151" spans="1:17" ht="15" customHeight="1">
      <c r="A151" s="58"/>
      <c r="B151" s="32"/>
      <c r="C151" s="65" t="str">
        <f>IF(Sheet1!B13="","",Sheet1!B13)</f>
        <v/>
      </c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6"/>
      <c r="O151" s="53"/>
      <c r="P151" s="53"/>
      <c r="Q151" s="38"/>
    </row>
    <row r="152" spans="1:17" ht="10.5" customHeight="1">
      <c r="A152" s="58"/>
      <c r="B152" s="31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6"/>
      <c r="O152" s="53"/>
      <c r="P152" s="53"/>
      <c r="Q152" s="38" t="str">
        <f>IF((Sheet1!M13="CLOSED CAPTION"), "CC", " ")</f>
        <v xml:space="preserve"> </v>
      </c>
    </row>
    <row r="153" spans="1:17" ht="12.75" customHeight="1">
      <c r="A153" s="58"/>
      <c r="B153" s="31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6"/>
      <c r="O153" s="53"/>
      <c r="P153" s="53"/>
      <c r="Q153" s="38"/>
    </row>
    <row r="154" spans="1:17" ht="15.75" customHeight="1">
      <c r="A154" s="58"/>
      <c r="B154" s="32"/>
      <c r="C154" s="6"/>
      <c r="D154" s="7"/>
      <c r="E154" s="6"/>
      <c r="F154" s="6"/>
      <c r="G154" s="6"/>
      <c r="H154" s="6"/>
      <c r="I154" s="6"/>
      <c r="J154" s="6"/>
      <c r="K154" s="6"/>
      <c r="L154" s="6"/>
      <c r="M154" s="6"/>
      <c r="N154" s="24"/>
      <c r="O154" s="53"/>
      <c r="P154" s="53"/>
      <c r="Q154" s="38" t="str">
        <f>CONCATENATE((Sheet1!H13)," of ", (Sheet1!I13))</f>
        <v xml:space="preserve"> of </v>
      </c>
    </row>
    <row r="155" spans="1:17" ht="21.75" customHeight="1">
      <c r="A155" s="58"/>
      <c r="B155" s="31"/>
      <c r="C155" s="18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24"/>
      <c r="O155" s="53"/>
      <c r="P155" s="53"/>
      <c r="Q155" s="38"/>
    </row>
    <row r="156" spans="1:17" ht="15.75" customHeight="1">
      <c r="A156" s="58"/>
      <c r="B156" s="43"/>
      <c r="C156" s="44"/>
      <c r="D156" s="44"/>
      <c r="E156" s="44"/>
      <c r="F156" s="8"/>
      <c r="G156" s="42" t="str">
        <f>IF((Sheet1!L13="EVERGREEN"), "EVERGREEN", " ")</f>
        <v xml:space="preserve"> </v>
      </c>
      <c r="H156" s="42"/>
      <c r="I156" s="42"/>
      <c r="J156" s="42"/>
      <c r="K156" s="9"/>
      <c r="L156" s="9"/>
      <c r="M156" s="9"/>
      <c r="N156" s="24"/>
      <c r="O156" s="53"/>
      <c r="P156" s="53"/>
      <c r="Q156" s="39" t="str">
        <f>IF(Sheet1!C13="","",Sheet1!C13)</f>
        <v/>
      </c>
    </row>
    <row r="157" spans="1:17" ht="15.75">
      <c r="A157" s="58"/>
      <c r="B157" s="43"/>
      <c r="C157" s="44"/>
      <c r="D157" s="45"/>
      <c r="E157" s="45"/>
      <c r="F157" s="10"/>
      <c r="G157" s="46" t="s">
        <v>16</v>
      </c>
      <c r="H157" s="46"/>
      <c r="I157" s="47" t="str">
        <f>CONCATENATE((Sheet1!H13)," of ", (Sheet1!I13))</f>
        <v xml:space="preserve"> of </v>
      </c>
      <c r="J157" s="47"/>
      <c r="K157" s="10"/>
      <c r="L157" s="23" t="s">
        <v>15</v>
      </c>
      <c r="M157" s="55" t="str">
        <f>IF(Sheet1!D13="","",Sheet1!D13)</f>
        <v/>
      </c>
      <c r="N157" s="55"/>
      <c r="O157" s="53"/>
      <c r="P157" s="53"/>
      <c r="Q157" s="39"/>
    </row>
    <row r="158" spans="1:17" ht="15.75">
      <c r="A158" s="58"/>
      <c r="B158" s="43"/>
      <c r="C158" s="44"/>
      <c r="D158" s="45"/>
      <c r="E158" s="45"/>
      <c r="F158" s="10"/>
      <c r="G158" s="46" t="s">
        <v>18</v>
      </c>
      <c r="H158" s="46"/>
      <c r="I158" s="46" t="str">
        <f>IF(Sheet1!J13="","",Sheet1!J13)</f>
        <v/>
      </c>
      <c r="J158" s="46"/>
      <c r="K158" s="10"/>
      <c r="L158" s="23" t="s">
        <v>17</v>
      </c>
      <c r="M158" s="56" t="str">
        <f>IF(Sheet1!E13="","",Sheet1!E13)</f>
        <v/>
      </c>
      <c r="N158" s="56"/>
      <c r="O158" s="53"/>
      <c r="P158" s="53"/>
      <c r="Q158" s="39"/>
    </row>
    <row r="159" spans="1:17" ht="21.75" customHeight="1" thickBot="1">
      <c r="A159" s="58"/>
      <c r="B159" s="59"/>
      <c r="C159" s="60"/>
      <c r="D159" s="61"/>
      <c r="E159" s="61"/>
      <c r="F159" s="34"/>
      <c r="G159" s="62" t="s">
        <v>20</v>
      </c>
      <c r="H159" s="62"/>
      <c r="I159" s="62" t="str">
        <f>IF(Sheet1!K13="","",Sheet1!K13)</f>
        <v/>
      </c>
      <c r="J159" s="62"/>
      <c r="K159" s="34"/>
      <c r="L159" s="35" t="s">
        <v>19</v>
      </c>
      <c r="M159" s="57" t="str">
        <f>IF(ISERROR(M158-M157),"",M158-M157)</f>
        <v/>
      </c>
      <c r="N159" s="57"/>
      <c r="O159" s="54"/>
      <c r="P159" s="54"/>
      <c r="Q159" s="40"/>
    </row>
  </sheetData>
  <mergeCells count="334">
    <mergeCell ref="A55:A67"/>
    <mergeCell ref="C55:E55"/>
    <mergeCell ref="Q156:Q159"/>
    <mergeCell ref="B157:C157"/>
    <mergeCell ref="D157:E157"/>
    <mergeCell ref="G157:H157"/>
    <mergeCell ref="I157:J157"/>
    <mergeCell ref="M24:N24"/>
    <mergeCell ref="M25:N25"/>
    <mergeCell ref="M26:N26"/>
    <mergeCell ref="B159:C159"/>
    <mergeCell ref="D159:E159"/>
    <mergeCell ref="G159:H159"/>
    <mergeCell ref="I159:J159"/>
    <mergeCell ref="B158:C158"/>
    <mergeCell ref="D158:E158"/>
    <mergeCell ref="G158:H158"/>
    <mergeCell ref="I158:J158"/>
    <mergeCell ref="G143:J143"/>
    <mergeCell ref="G130:J130"/>
    <mergeCell ref="G117:J117"/>
    <mergeCell ref="G103:J103"/>
    <mergeCell ref="G90:J90"/>
    <mergeCell ref="B67:C67"/>
    <mergeCell ref="D67:E67"/>
    <mergeCell ref="G67:H67"/>
    <mergeCell ref="M147:N147"/>
    <mergeCell ref="O147:P159"/>
    <mergeCell ref="C148:N150"/>
    <mergeCell ref="C151:N153"/>
    <mergeCell ref="B156:E156"/>
    <mergeCell ref="M157:N157"/>
    <mergeCell ref="M158:N158"/>
    <mergeCell ref="M159:N159"/>
    <mergeCell ref="G156:J156"/>
    <mergeCell ref="B145:C145"/>
    <mergeCell ref="D145:E145"/>
    <mergeCell ref="G145:H145"/>
    <mergeCell ref="I145:J145"/>
    <mergeCell ref="B146:C146"/>
    <mergeCell ref="D146:E146"/>
    <mergeCell ref="G146:H146"/>
    <mergeCell ref="I146:J146"/>
    <mergeCell ref="D144:E144"/>
    <mergeCell ref="G144:H144"/>
    <mergeCell ref="I144:J144"/>
    <mergeCell ref="B119:C119"/>
    <mergeCell ref="D119:E119"/>
    <mergeCell ref="A147:A159"/>
    <mergeCell ref="C147:E147"/>
    <mergeCell ref="H147:I147"/>
    <mergeCell ref="A134:A146"/>
    <mergeCell ref="C134:E134"/>
    <mergeCell ref="H134:I134"/>
    <mergeCell ref="M134:N134"/>
    <mergeCell ref="O134:P146"/>
    <mergeCell ref="B133:C133"/>
    <mergeCell ref="D133:E133"/>
    <mergeCell ref="G133:H133"/>
    <mergeCell ref="I133:J133"/>
    <mergeCell ref="A121:A133"/>
    <mergeCell ref="C122:N124"/>
    <mergeCell ref="C125:N127"/>
    <mergeCell ref="B130:E130"/>
    <mergeCell ref="M133:N133"/>
    <mergeCell ref="M144:N144"/>
    <mergeCell ref="C135:N137"/>
    <mergeCell ref="C138:N140"/>
    <mergeCell ref="M145:N145"/>
    <mergeCell ref="M146:N146"/>
    <mergeCell ref="B143:E143"/>
    <mergeCell ref="B144:C144"/>
    <mergeCell ref="G119:H119"/>
    <mergeCell ref="I119:J119"/>
    <mergeCell ref="B120:C120"/>
    <mergeCell ref="D120:E120"/>
    <mergeCell ref="G120:H120"/>
    <mergeCell ref="I120:J120"/>
    <mergeCell ref="Q130:Q133"/>
    <mergeCell ref="B131:C131"/>
    <mergeCell ref="D131:E131"/>
    <mergeCell ref="G131:H131"/>
    <mergeCell ref="I131:J131"/>
    <mergeCell ref="C121:E121"/>
    <mergeCell ref="H121:I121"/>
    <mergeCell ref="M121:N121"/>
    <mergeCell ref="O121:P133"/>
    <mergeCell ref="B132:C132"/>
    <mergeCell ref="D132:E132"/>
    <mergeCell ref="G132:H132"/>
    <mergeCell ref="I132:J132"/>
    <mergeCell ref="M131:N131"/>
    <mergeCell ref="M132:N132"/>
    <mergeCell ref="Q128:Q129"/>
    <mergeCell ref="A108:A120"/>
    <mergeCell ref="C108:E108"/>
    <mergeCell ref="H108:I108"/>
    <mergeCell ref="M108:N108"/>
    <mergeCell ref="O108:P120"/>
    <mergeCell ref="B106:C106"/>
    <mergeCell ref="D106:E106"/>
    <mergeCell ref="G106:H106"/>
    <mergeCell ref="I106:J106"/>
    <mergeCell ref="A94:A106"/>
    <mergeCell ref="C95:N97"/>
    <mergeCell ref="C98:N100"/>
    <mergeCell ref="B103:E103"/>
    <mergeCell ref="M106:N106"/>
    <mergeCell ref="M118:N118"/>
    <mergeCell ref="C109:N111"/>
    <mergeCell ref="C112:N114"/>
    <mergeCell ref="M119:N119"/>
    <mergeCell ref="M120:N120"/>
    <mergeCell ref="B117:E117"/>
    <mergeCell ref="B118:C118"/>
    <mergeCell ref="D118:E118"/>
    <mergeCell ref="G118:H118"/>
    <mergeCell ref="I118:J118"/>
    <mergeCell ref="B104:C104"/>
    <mergeCell ref="D104:E104"/>
    <mergeCell ref="G104:H104"/>
    <mergeCell ref="I104:J104"/>
    <mergeCell ref="C94:E94"/>
    <mergeCell ref="H94:I94"/>
    <mergeCell ref="M94:N94"/>
    <mergeCell ref="O94:P106"/>
    <mergeCell ref="B105:C105"/>
    <mergeCell ref="D105:E105"/>
    <mergeCell ref="G105:H105"/>
    <mergeCell ref="I105:J105"/>
    <mergeCell ref="M104:N104"/>
    <mergeCell ref="M105:N105"/>
    <mergeCell ref="M93:N93"/>
    <mergeCell ref="B90:E90"/>
    <mergeCell ref="B91:C91"/>
    <mergeCell ref="D91:E91"/>
    <mergeCell ref="G91:H91"/>
    <mergeCell ref="I91:J91"/>
    <mergeCell ref="B92:C92"/>
    <mergeCell ref="D92:E92"/>
    <mergeCell ref="G92:H92"/>
    <mergeCell ref="I92:J92"/>
    <mergeCell ref="B93:C93"/>
    <mergeCell ref="D93:E93"/>
    <mergeCell ref="G93:H93"/>
    <mergeCell ref="I93:J93"/>
    <mergeCell ref="Q73:Q74"/>
    <mergeCell ref="Q69:Q72"/>
    <mergeCell ref="I67:J67"/>
    <mergeCell ref="G77:J77"/>
    <mergeCell ref="Q64:Q67"/>
    <mergeCell ref="B65:C65"/>
    <mergeCell ref="A81:A93"/>
    <mergeCell ref="C81:E81"/>
    <mergeCell ref="H81:I81"/>
    <mergeCell ref="M81:N81"/>
    <mergeCell ref="O81:P93"/>
    <mergeCell ref="B80:C80"/>
    <mergeCell ref="D80:E80"/>
    <mergeCell ref="G80:H80"/>
    <mergeCell ref="I80:J80"/>
    <mergeCell ref="A68:A80"/>
    <mergeCell ref="C69:N71"/>
    <mergeCell ref="C72:N74"/>
    <mergeCell ref="B77:E77"/>
    <mergeCell ref="M80:N80"/>
    <mergeCell ref="M91:N91"/>
    <mergeCell ref="C82:N84"/>
    <mergeCell ref="C85:N87"/>
    <mergeCell ref="M92:N92"/>
    <mergeCell ref="B66:C66"/>
    <mergeCell ref="D66:E66"/>
    <mergeCell ref="G66:H66"/>
    <mergeCell ref="I66:J66"/>
    <mergeCell ref="H55:I55"/>
    <mergeCell ref="M55:N55"/>
    <mergeCell ref="Q62:Q63"/>
    <mergeCell ref="Q56:Q60"/>
    <mergeCell ref="Q77:Q80"/>
    <mergeCell ref="B78:C78"/>
    <mergeCell ref="D78:E78"/>
    <mergeCell ref="G78:H78"/>
    <mergeCell ref="I78:J78"/>
    <mergeCell ref="C68:E68"/>
    <mergeCell ref="H68:I68"/>
    <mergeCell ref="M68:N68"/>
    <mergeCell ref="O68:P80"/>
    <mergeCell ref="B79:C79"/>
    <mergeCell ref="D79:E79"/>
    <mergeCell ref="G79:H79"/>
    <mergeCell ref="I79:J79"/>
    <mergeCell ref="M78:N78"/>
    <mergeCell ref="M79:N79"/>
    <mergeCell ref="Q75:Q76"/>
    <mergeCell ref="O55:P67"/>
    <mergeCell ref="M65:N65"/>
    <mergeCell ref="M66:N66"/>
    <mergeCell ref="M67:N67"/>
    <mergeCell ref="C56:N58"/>
    <mergeCell ref="C59:N61"/>
    <mergeCell ref="B64:E64"/>
    <mergeCell ref="G64:J64"/>
    <mergeCell ref="Q49:Q52"/>
    <mergeCell ref="B50:C50"/>
    <mergeCell ref="D50:E50"/>
    <mergeCell ref="G50:H50"/>
    <mergeCell ref="I50:J50"/>
    <mergeCell ref="B51:C51"/>
    <mergeCell ref="D51:E51"/>
    <mergeCell ref="G51:H51"/>
    <mergeCell ref="I51:J51"/>
    <mergeCell ref="B52:C52"/>
    <mergeCell ref="D52:E52"/>
    <mergeCell ref="G52:H52"/>
    <mergeCell ref="I52:J52"/>
    <mergeCell ref="D65:E65"/>
    <mergeCell ref="G65:H65"/>
    <mergeCell ref="I65:J65"/>
    <mergeCell ref="A40:A52"/>
    <mergeCell ref="C40:E40"/>
    <mergeCell ref="H40:I40"/>
    <mergeCell ref="M40:N40"/>
    <mergeCell ref="O40:P52"/>
    <mergeCell ref="B39:C39"/>
    <mergeCell ref="D39:E39"/>
    <mergeCell ref="G39:H39"/>
    <mergeCell ref="I39:J39"/>
    <mergeCell ref="A27:A39"/>
    <mergeCell ref="C28:N30"/>
    <mergeCell ref="C31:N33"/>
    <mergeCell ref="B36:E36"/>
    <mergeCell ref="M39:N39"/>
    <mergeCell ref="M50:N50"/>
    <mergeCell ref="C41:N43"/>
    <mergeCell ref="C44:N46"/>
    <mergeCell ref="M51:N51"/>
    <mergeCell ref="M52:N52"/>
    <mergeCell ref="B49:E49"/>
    <mergeCell ref="G49:J49"/>
    <mergeCell ref="I25:J25"/>
    <mergeCell ref="B26:C26"/>
    <mergeCell ref="D26:E26"/>
    <mergeCell ref="G26:H26"/>
    <mergeCell ref="I26:J26"/>
    <mergeCell ref="G36:J36"/>
    <mergeCell ref="Q36:Q39"/>
    <mergeCell ref="B37:C37"/>
    <mergeCell ref="D37:E37"/>
    <mergeCell ref="G37:H37"/>
    <mergeCell ref="I37:J37"/>
    <mergeCell ref="C27:E27"/>
    <mergeCell ref="H27:I27"/>
    <mergeCell ref="M27:N27"/>
    <mergeCell ref="O27:P39"/>
    <mergeCell ref="B38:C38"/>
    <mergeCell ref="D38:E38"/>
    <mergeCell ref="G38:H38"/>
    <mergeCell ref="I38:J38"/>
    <mergeCell ref="M37:N37"/>
    <mergeCell ref="M38:N38"/>
    <mergeCell ref="A14:A26"/>
    <mergeCell ref="C14:E14"/>
    <mergeCell ref="H14:I14"/>
    <mergeCell ref="M14:N14"/>
    <mergeCell ref="O14:P26"/>
    <mergeCell ref="B13:C13"/>
    <mergeCell ref="D13:E13"/>
    <mergeCell ref="G13:H13"/>
    <mergeCell ref="I13:J13"/>
    <mergeCell ref="A1:A13"/>
    <mergeCell ref="C2:N4"/>
    <mergeCell ref="C5:N7"/>
    <mergeCell ref="B10:E10"/>
    <mergeCell ref="C15:N17"/>
    <mergeCell ref="C18:N20"/>
    <mergeCell ref="B23:E23"/>
    <mergeCell ref="G23:J23"/>
    <mergeCell ref="B24:C24"/>
    <mergeCell ref="D24:E24"/>
    <mergeCell ref="G24:H24"/>
    <mergeCell ref="I24:J24"/>
    <mergeCell ref="B25:C25"/>
    <mergeCell ref="D25:E25"/>
    <mergeCell ref="G25:H25"/>
    <mergeCell ref="G10:J10"/>
    <mergeCell ref="Q10:Q13"/>
    <mergeCell ref="B11:C11"/>
    <mergeCell ref="D11:E11"/>
    <mergeCell ref="G11:H11"/>
    <mergeCell ref="I11:J11"/>
    <mergeCell ref="C1:E1"/>
    <mergeCell ref="H1:I1"/>
    <mergeCell ref="M1:N1"/>
    <mergeCell ref="O1:P13"/>
    <mergeCell ref="B12:C12"/>
    <mergeCell ref="D12:E12"/>
    <mergeCell ref="G12:H12"/>
    <mergeCell ref="I12:J12"/>
    <mergeCell ref="M11:N11"/>
    <mergeCell ref="M12:N12"/>
    <mergeCell ref="M13:N13"/>
    <mergeCell ref="Q3:Q5"/>
    <mergeCell ref="Q6:Q8"/>
    <mergeCell ref="Q15:Q17"/>
    <mergeCell ref="Q20:Q22"/>
    <mergeCell ref="Q18:Q19"/>
    <mergeCell ref="Q28:Q31"/>
    <mergeCell ref="Q47:Q48"/>
    <mergeCell ref="Q41:Q44"/>
    <mergeCell ref="Q45:Q46"/>
    <mergeCell ref="Q32:Q33"/>
    <mergeCell ref="Q34:Q35"/>
    <mergeCell ref="Q23:Q26"/>
    <mergeCell ref="Q141:Q142"/>
    <mergeCell ref="Q139:Q140"/>
    <mergeCell ref="Q135:Q138"/>
    <mergeCell ref="Q154:Q155"/>
    <mergeCell ref="Q152:Q153"/>
    <mergeCell ref="Q148:Q151"/>
    <mergeCell ref="Q88:Q89"/>
    <mergeCell ref="Q86:Q87"/>
    <mergeCell ref="Q82:Q85"/>
    <mergeCell ref="Q101:Q102"/>
    <mergeCell ref="Q99:Q100"/>
    <mergeCell ref="Q95:Q98"/>
    <mergeCell ref="Q115:Q116"/>
    <mergeCell ref="Q113:Q114"/>
    <mergeCell ref="Q109:Q112"/>
    <mergeCell ref="Q90:Q93"/>
    <mergeCell ref="Q117:Q120"/>
    <mergeCell ref="Q126:Q127"/>
    <mergeCell ref="Q122:Q125"/>
    <mergeCell ref="Q143:Q146"/>
    <mergeCell ref="Q103:Q106"/>
  </mergeCells>
  <pageMargins left="0.20833333333333334" right="0.78125" top="9.375E-2" bottom="0.10416666666666667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7"/>
  <sheetViews>
    <sheetView workbookViewId="0">
      <selection activeCell="B22" sqref="B22"/>
    </sheetView>
  </sheetViews>
  <sheetFormatPr defaultRowHeight="15"/>
  <cols>
    <col min="1" max="1" width="16.42578125" customWidth="1"/>
    <col min="2" max="2" width="18.42578125" customWidth="1"/>
    <col min="11" max="11" width="29.28515625" customWidth="1"/>
  </cols>
  <sheetData>
    <row r="1" spans="1:2">
      <c r="A1" t="s">
        <v>25</v>
      </c>
      <c r="B1" t="s">
        <v>26</v>
      </c>
    </row>
    <row r="2" spans="1:2" ht="54" customHeight="1">
      <c r="A2" s="22" t="s">
        <v>21</v>
      </c>
    </row>
    <row r="3" spans="1:2" ht="51" customHeight="1">
      <c r="A3" s="22" t="s">
        <v>22</v>
      </c>
    </row>
    <row r="4" spans="1:2" ht="55.5" customHeight="1">
      <c r="A4" s="22" t="s">
        <v>23</v>
      </c>
    </row>
    <row r="5" spans="1:2" ht="62.25" customHeight="1">
      <c r="A5" s="22" t="s">
        <v>24</v>
      </c>
    </row>
    <row r="6" spans="1:2" ht="59.25" customHeight="1">
      <c r="A6" s="22" t="s">
        <v>27</v>
      </c>
    </row>
    <row r="7" spans="1:2" ht="49.5" customHeight="1"/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Labels</vt:lpstr>
      <vt:lpstr>Sheet3</vt:lpstr>
      <vt:lpstr>Labels!Print_Area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PCN</dc:creator>
  <cp:lastModifiedBy>PCN</cp:lastModifiedBy>
  <dcterms:created xsi:type="dcterms:W3CDTF">2012-07-25T13:42:47Z</dcterms:created>
  <dcterms:modified xsi:type="dcterms:W3CDTF">2012-09-30T21:20:28Z</dcterms:modified>
</cp:coreProperties>
</file>