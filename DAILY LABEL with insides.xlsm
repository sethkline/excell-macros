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9095" windowHeight="11760" activeTab="2"/>
  </bookViews>
  <sheets>
    <sheet name="PasteHere" sheetId="2" r:id="rId1"/>
    <sheet name="Labels" sheetId="1" r:id="rId2"/>
    <sheet name="Inside (2)" sheetId="11" r:id="rId3"/>
    <sheet name="Code" sheetId="3" state="hidden" r:id="rId4"/>
    <sheet name="Sheet2" sheetId="4" r:id="rId5"/>
    <sheet name="Inside" sheetId="5" state="hidden" r:id="rId6"/>
    <sheet name="Insideinfo" sheetId="6" state="hidden" r:id="rId7"/>
    <sheet name="Date" sheetId="7" r:id="rId8"/>
    <sheet name="Bug" sheetId="8" r:id="rId9"/>
    <sheet name="LookUp" sheetId="10" state="hidden" r:id="rId10"/>
  </sheets>
  <externalReferences>
    <externalReference r:id="rId11"/>
  </externalReferences>
  <definedNames>
    <definedName name="_xlnm.Print_Area" localSheetId="5">Inside!$B$1:$R$39</definedName>
    <definedName name="_xlnm.Print_Area" localSheetId="2">'Inside (2)'!$A$1:$S$39</definedName>
    <definedName name="_xlnm.Print_Area" localSheetId="1">Labels!$B$55:$Q$67</definedName>
  </definedNames>
  <calcPr calcId="125725"/>
</workbook>
</file>

<file path=xl/calcChain.xml><?xml version="1.0" encoding="utf-8"?>
<calcChain xmlns="http://schemas.openxmlformats.org/spreadsheetml/2006/main">
  <c r="AH72" i="1"/>
  <c r="Y68"/>
  <c r="AH59"/>
  <c r="Y55"/>
  <c r="Q98"/>
  <c r="H94"/>
  <c r="Q85"/>
  <c r="H81"/>
  <c r="Q72"/>
  <c r="H68"/>
  <c r="Q59"/>
  <c r="H55"/>
  <c r="Y40"/>
  <c r="AH44"/>
  <c r="AH31"/>
  <c r="Y27"/>
  <c r="AH18"/>
  <c r="Y14"/>
  <c r="AH5"/>
  <c r="Y1"/>
  <c r="Q44"/>
  <c r="H40"/>
  <c r="Q31"/>
  <c r="H27"/>
  <c r="Q18"/>
  <c r="H14"/>
  <c r="Q5"/>
  <c r="H1"/>
  <c r="A57" i="7"/>
  <c r="A58"/>
  <c r="A59"/>
  <c r="A60"/>
  <c r="A61"/>
  <c r="A62"/>
  <c r="A63"/>
  <c r="A64"/>
  <c r="A65"/>
  <c r="A66"/>
  <c r="A67"/>
  <c r="A68"/>
  <c r="A69"/>
  <c r="A70"/>
  <c r="A71"/>
  <c r="A72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1" i="8"/>
  <c r="E2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"/>
  <c r="J58" i="7"/>
  <c r="J59"/>
  <c r="J60"/>
  <c r="J61"/>
  <c r="J62"/>
  <c r="J63"/>
  <c r="J64"/>
  <c r="J65"/>
  <c r="J66"/>
  <c r="AH147" i="1" l="1"/>
  <c r="T147"/>
  <c r="AH134"/>
  <c r="T134"/>
  <c r="AH121"/>
  <c r="T121"/>
  <c r="AH108"/>
  <c r="T108"/>
  <c r="Q147"/>
  <c r="C147"/>
  <c r="Q134"/>
  <c r="C134"/>
  <c r="Q121"/>
  <c r="C121"/>
  <c r="C108"/>
  <c r="Q108"/>
  <c r="T94"/>
  <c r="AH94"/>
  <c r="AH81"/>
  <c r="T81"/>
  <c r="AH68"/>
  <c r="T68"/>
  <c r="AH55"/>
  <c r="T55"/>
  <c r="Q94"/>
  <c r="C94"/>
  <c r="Q81"/>
  <c r="C81"/>
  <c r="Q68"/>
  <c r="C68"/>
  <c r="Q55"/>
  <c r="C55"/>
  <c r="T40"/>
  <c r="A2" i="5"/>
  <c r="Y55" i="10" l="1"/>
  <c r="X54"/>
  <c r="Y56"/>
  <c r="X55"/>
  <c r="W54"/>
  <c r="Y57"/>
  <c r="X56"/>
  <c r="W55"/>
  <c r="V54"/>
  <c r="Y58"/>
  <c r="X57"/>
  <c r="W56"/>
  <c r="V55"/>
  <c r="U54"/>
  <c r="Y59"/>
  <c r="X58"/>
  <c r="W57"/>
  <c r="V56"/>
  <c r="U55"/>
  <c r="T54"/>
  <c r="Y60"/>
  <c r="X59"/>
  <c r="W58"/>
  <c r="V57"/>
  <c r="U56"/>
  <c r="T55"/>
  <c r="S54"/>
  <c r="Y61"/>
  <c r="X60"/>
  <c r="W59"/>
  <c r="V58"/>
  <c r="U57"/>
  <c r="T56"/>
  <c r="S55"/>
  <c r="R54"/>
  <c r="Y62"/>
  <c r="X61"/>
  <c r="W60"/>
  <c r="V59"/>
  <c r="U58"/>
  <c r="T57"/>
  <c r="S56"/>
  <c r="R55"/>
  <c r="Q54"/>
  <c r="Y63"/>
  <c r="X62"/>
  <c r="W61"/>
  <c r="V60"/>
  <c r="U59"/>
  <c r="T58"/>
  <c r="S57"/>
  <c r="R56"/>
  <c r="Q55"/>
  <c r="P54"/>
  <c r="Y64"/>
  <c r="X63"/>
  <c r="W62"/>
  <c r="V61"/>
  <c r="U60"/>
  <c r="T59"/>
  <c r="S58"/>
  <c r="R57"/>
  <c r="Q56"/>
  <c r="P55"/>
  <c r="O54"/>
  <c r="Y65"/>
  <c r="X64"/>
  <c r="W63"/>
  <c r="V62"/>
  <c r="U61"/>
  <c r="T60"/>
  <c r="S59"/>
  <c r="R58"/>
  <c r="Q57"/>
  <c r="P56"/>
  <c r="O55"/>
  <c r="N54"/>
  <c r="Y66"/>
  <c r="X65"/>
  <c r="W64"/>
  <c r="V63"/>
  <c r="U62"/>
  <c r="T61"/>
  <c r="S60"/>
  <c r="R59"/>
  <c r="Q58"/>
  <c r="P57"/>
  <c r="O56"/>
  <c r="N55"/>
  <c r="M54"/>
  <c r="Y67"/>
  <c r="X66"/>
  <c r="W65"/>
  <c r="V64"/>
  <c r="U63"/>
  <c r="T62"/>
  <c r="S61"/>
  <c r="R60"/>
  <c r="Q59"/>
  <c r="P58"/>
  <c r="O57"/>
  <c r="N56"/>
  <c r="M55"/>
  <c r="L54"/>
  <c r="Y68"/>
  <c r="X67"/>
  <c r="W66"/>
  <c r="V65"/>
  <c r="U64"/>
  <c r="T63"/>
  <c r="S62"/>
  <c r="R61"/>
  <c r="Q60"/>
  <c r="P59"/>
  <c r="O58"/>
  <c r="N57"/>
  <c r="M56"/>
  <c r="L55"/>
  <c r="K54"/>
  <c r="Y69"/>
  <c r="X68"/>
  <c r="W67"/>
  <c r="V66"/>
  <c r="U65"/>
  <c r="T64"/>
  <c r="S63"/>
  <c r="R62"/>
  <c r="Q61"/>
  <c r="P60"/>
  <c r="O59"/>
  <c r="N58"/>
  <c r="M57"/>
  <c r="L56"/>
  <c r="K55"/>
  <c r="J54"/>
  <c r="Y70"/>
  <c r="X69"/>
  <c r="W68"/>
  <c r="V67"/>
  <c r="U66"/>
  <c r="T65"/>
  <c r="S64"/>
  <c r="R63"/>
  <c r="Q62"/>
  <c r="P61"/>
  <c r="O60"/>
  <c r="N59"/>
  <c r="M58"/>
  <c r="L57"/>
  <c r="K56"/>
  <c r="J55"/>
  <c r="I54"/>
  <c r="Y71"/>
  <c r="X70"/>
  <c r="W69"/>
  <c r="V68"/>
  <c r="U67"/>
  <c r="T66"/>
  <c r="S65"/>
  <c r="R64"/>
  <c r="Q63"/>
  <c r="P62"/>
  <c r="O61"/>
  <c r="N60"/>
  <c r="M59"/>
  <c r="L58"/>
  <c r="K57"/>
  <c r="J56"/>
  <c r="I55"/>
  <c r="H54"/>
  <c r="Y72"/>
  <c r="X71"/>
  <c r="W70"/>
  <c r="V69"/>
  <c r="U68"/>
  <c r="T67"/>
  <c r="S66"/>
  <c r="R65"/>
  <c r="Q64"/>
  <c r="P63"/>
  <c r="O62"/>
  <c r="N61"/>
  <c r="M60"/>
  <c r="L59"/>
  <c r="K58"/>
  <c r="J57"/>
  <c r="I56"/>
  <c r="H55"/>
  <c r="G54"/>
  <c r="Y73"/>
  <c r="X72"/>
  <c r="W71"/>
  <c r="V70"/>
  <c r="U69"/>
  <c r="T68"/>
  <c r="S67"/>
  <c r="R66"/>
  <c r="Q65"/>
  <c r="P64"/>
  <c r="O63"/>
  <c r="N62"/>
  <c r="M61"/>
  <c r="L60"/>
  <c r="K59"/>
  <c r="J58"/>
  <c r="I57"/>
  <c r="H56"/>
  <c r="G55"/>
  <c r="F54"/>
  <c r="Y74"/>
  <c r="X73"/>
  <c r="W72"/>
  <c r="V71"/>
  <c r="U70"/>
  <c r="T69"/>
  <c r="S68"/>
  <c r="R67"/>
  <c r="Q66"/>
  <c r="P65"/>
  <c r="O64"/>
  <c r="N63"/>
  <c r="M62"/>
  <c r="L61"/>
  <c r="K60"/>
  <c r="J59"/>
  <c r="I58"/>
  <c r="H57"/>
  <c r="G56"/>
  <c r="F55"/>
  <c r="E54"/>
  <c r="Y75"/>
  <c r="X74"/>
  <c r="W73"/>
  <c r="V72"/>
  <c r="U71"/>
  <c r="T70"/>
  <c r="S69"/>
  <c r="R68"/>
  <c r="Q67"/>
  <c r="P66"/>
  <c r="O65"/>
  <c r="N64"/>
  <c r="M63"/>
  <c r="L62"/>
  <c r="K61"/>
  <c r="J60"/>
  <c r="I59"/>
  <c r="H58"/>
  <c r="G57"/>
  <c r="F56"/>
  <c r="E55"/>
  <c r="D54"/>
  <c r="Y76"/>
  <c r="X75"/>
  <c r="W74"/>
  <c r="V73"/>
  <c r="U72"/>
  <c r="T71"/>
  <c r="S70"/>
  <c r="R69"/>
  <c r="Q68"/>
  <c r="P67"/>
  <c r="O66"/>
  <c r="N65"/>
  <c r="M64"/>
  <c r="L63"/>
  <c r="K62"/>
  <c r="J61"/>
  <c r="I60"/>
  <c r="H59"/>
  <c r="G58"/>
  <c r="F57"/>
  <c r="E56"/>
  <c r="D55"/>
  <c r="C54"/>
  <c r="Y54"/>
  <c r="B54"/>
  <c r="D2" i="6" s="1"/>
  <c r="H2" s="1"/>
  <c r="Y77" i="10"/>
  <c r="X76"/>
  <c r="W75"/>
  <c r="V74"/>
  <c r="U73"/>
  <c r="T72"/>
  <c r="S71"/>
  <c r="R70"/>
  <c r="Q69"/>
  <c r="P68"/>
  <c r="O67"/>
  <c r="N66"/>
  <c r="M65"/>
  <c r="L64"/>
  <c r="K63"/>
  <c r="J62"/>
  <c r="I61"/>
  <c r="H60"/>
  <c r="G59"/>
  <c r="F58"/>
  <c r="E57"/>
  <c r="D56"/>
  <c r="C55"/>
  <c r="C1" i="1"/>
  <c r="D4" i="6" l="1"/>
  <c r="H4" s="1"/>
  <c r="D9"/>
  <c r="H9" s="1"/>
  <c r="D23"/>
  <c r="H23" s="1"/>
  <c r="D15"/>
  <c r="H15" s="1"/>
  <c r="D25"/>
  <c r="H25" s="1"/>
  <c r="D6"/>
  <c r="H6" s="1"/>
  <c r="D11"/>
  <c r="H11" s="1"/>
  <c r="D12"/>
  <c r="H12" s="1"/>
  <c r="D13"/>
  <c r="H13" s="1"/>
  <c r="D24"/>
  <c r="H24" s="1"/>
  <c r="D21"/>
  <c r="H21" s="1"/>
  <c r="D18"/>
  <c r="H18" s="1"/>
  <c r="D22"/>
  <c r="H22" s="1"/>
  <c r="D20"/>
  <c r="H20" s="1"/>
  <c r="D19"/>
  <c r="H19" s="1"/>
  <c r="D16"/>
  <c r="H16" s="1"/>
  <c r="D17"/>
  <c r="H17" s="1"/>
  <c r="D3"/>
  <c r="H3" s="1"/>
  <c r="D14"/>
  <c r="H14" s="1"/>
  <c r="D10"/>
  <c r="H10" s="1"/>
  <c r="D8"/>
  <c r="H8" s="1"/>
  <c r="D7"/>
  <c r="H7" s="1"/>
  <c r="D5"/>
  <c r="H5" s="1"/>
  <c r="AH40" i="1"/>
  <c r="AH27"/>
  <c r="T27"/>
  <c r="AH14"/>
  <c r="T14"/>
  <c r="AH1"/>
  <c r="T1"/>
  <c r="Q40"/>
  <c r="C40"/>
  <c r="C27"/>
  <c r="Q27"/>
  <c r="Q14"/>
  <c r="C14"/>
  <c r="Q1"/>
  <c r="U41" i="7" l="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A2" i="8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D100"/>
  <c r="F97"/>
  <c r="C97"/>
  <c r="D97" s="1"/>
  <c r="A77" i="7"/>
  <c r="A76"/>
  <c r="A75"/>
  <c r="A74"/>
  <c r="A73"/>
  <c r="AA64"/>
  <c r="Y64"/>
  <c r="AA63"/>
  <c r="Y63"/>
  <c r="AA62"/>
  <c r="L61"/>
  <c r="B61"/>
  <c r="C61" s="1"/>
  <c r="D61" s="1"/>
  <c r="E61" s="1"/>
  <c r="F61" s="1"/>
  <c r="G61" s="1"/>
  <c r="H61" s="1"/>
  <c r="B59"/>
  <c r="C59" s="1"/>
  <c r="D59" s="1"/>
  <c r="E59" s="1"/>
  <c r="F59" s="1"/>
  <c r="G59" s="1"/>
  <c r="H59" s="1"/>
  <c r="L58"/>
  <c r="B58"/>
  <c r="C58" s="1"/>
  <c r="D58" s="1"/>
  <c r="E58" s="1"/>
  <c r="F58" s="1"/>
  <c r="G58" s="1"/>
  <c r="H58" s="1"/>
  <c r="M58"/>
  <c r="N58" s="1"/>
  <c r="O58" s="1"/>
  <c r="P58" s="1"/>
  <c r="Q58" s="1"/>
  <c r="R58" s="1"/>
  <c r="S58" s="1"/>
  <c r="B57"/>
  <c r="C57" s="1"/>
  <c r="D57" s="1"/>
  <c r="E57" s="1"/>
  <c r="F57" s="1"/>
  <c r="G57" s="1"/>
  <c r="H57" s="1"/>
  <c r="I57" s="1"/>
  <c r="J57" s="1"/>
  <c r="B55"/>
  <c r="C55" s="1"/>
  <c r="D55" s="1"/>
  <c r="E55" s="1"/>
  <c r="F55" s="1"/>
  <c r="G55" s="1"/>
  <c r="H55" s="1"/>
  <c r="B54"/>
  <c r="C54" s="1"/>
  <c r="D54" s="1"/>
  <c r="E54" s="1"/>
  <c r="F54" s="1"/>
  <c r="G54" s="1"/>
  <c r="H54" s="1"/>
  <c r="B53"/>
  <c r="C53" s="1"/>
  <c r="D53" s="1"/>
  <c r="E53" s="1"/>
  <c r="F53" s="1"/>
  <c r="G53" s="1"/>
  <c r="H53" s="1"/>
  <c r="B51"/>
  <c r="C51" s="1"/>
  <c r="D51" s="1"/>
  <c r="E51" s="1"/>
  <c r="F51" s="1"/>
  <c r="G51" s="1"/>
  <c r="H51" s="1"/>
  <c r="AA50"/>
  <c r="M33" l="1"/>
  <c r="N33" s="1"/>
  <c r="O33" s="1"/>
  <c r="P33" s="1"/>
  <c r="Q33" s="1"/>
  <c r="R33" s="1"/>
  <c r="S33" s="1"/>
  <c r="T33" s="1"/>
  <c r="U33" s="1"/>
  <c r="C99" i="8"/>
  <c r="D99" s="1"/>
  <c r="F25"/>
  <c r="B50" i="7"/>
  <c r="C50" s="1"/>
  <c r="D50" s="1"/>
  <c r="E50" s="1"/>
  <c r="F50" s="1"/>
  <c r="G50" s="1"/>
  <c r="H50" s="1"/>
  <c r="L57"/>
  <c r="C98" i="8"/>
  <c r="D98" s="1"/>
  <c r="K58" i="7"/>
  <c r="K59"/>
  <c r="AA53"/>
  <c r="AA58"/>
  <c r="M50"/>
  <c r="N50" s="1"/>
  <c r="O50" s="1"/>
  <c r="P50" s="1"/>
  <c r="Q50" s="1"/>
  <c r="R50" s="1"/>
  <c r="S50" s="1"/>
  <c r="L53"/>
  <c r="AA57"/>
  <c r="K61"/>
  <c r="K57"/>
  <c r="I55"/>
  <c r="I51"/>
  <c r="J51" s="1"/>
  <c r="I53"/>
  <c r="I54"/>
  <c r="M54"/>
  <c r="N54" s="1"/>
  <c r="O54" s="1"/>
  <c r="P54" s="1"/>
  <c r="Q54" s="1"/>
  <c r="R54" s="1"/>
  <c r="S54" s="1"/>
  <c r="V54" s="1"/>
  <c r="L54"/>
  <c r="AA54"/>
  <c r="L50"/>
  <c r="AA61"/>
  <c r="AA32"/>
  <c r="F15" i="8"/>
  <c r="A16" i="7" s="1"/>
  <c r="F23" i="8"/>
  <c r="F98"/>
  <c r="F2"/>
  <c r="A3" i="7" s="1"/>
  <c r="F4" i="8"/>
  <c r="A5" i="7" s="1"/>
  <c r="F6" i="8"/>
  <c r="A7" i="7" s="1"/>
  <c r="F8" i="8"/>
  <c r="A9" i="7" s="1"/>
  <c r="F10" i="8"/>
  <c r="A11" i="7" s="1"/>
  <c r="F12" i="8"/>
  <c r="A13" i="7" s="1"/>
  <c r="F14" i="8"/>
  <c r="A15" i="7" s="1"/>
  <c r="F16" i="8"/>
  <c r="F18"/>
  <c r="F20"/>
  <c r="F22"/>
  <c r="F24"/>
  <c r="F26"/>
  <c r="F28"/>
  <c r="F30"/>
  <c r="F32"/>
  <c r="F34"/>
  <c r="F36"/>
  <c r="F38"/>
  <c r="F40"/>
  <c r="F42"/>
  <c r="F44"/>
  <c r="F46"/>
  <c r="F48"/>
  <c r="F50"/>
  <c r="F52"/>
  <c r="F54"/>
  <c r="F56"/>
  <c r="F58"/>
  <c r="F60"/>
  <c r="F62"/>
  <c r="F64"/>
  <c r="F66"/>
  <c r="F68"/>
  <c r="F70"/>
  <c r="F71"/>
  <c r="F72"/>
  <c r="F73"/>
  <c r="F74"/>
  <c r="F75"/>
  <c r="F76"/>
  <c r="F77"/>
  <c r="F78"/>
  <c r="F79"/>
  <c r="F80"/>
  <c r="F81"/>
  <c r="F82"/>
  <c r="C82"/>
  <c r="D82" s="1"/>
  <c r="F83"/>
  <c r="C83"/>
  <c r="D83" s="1"/>
  <c r="F84"/>
  <c r="C84"/>
  <c r="D84" s="1"/>
  <c r="F85"/>
  <c r="C85"/>
  <c r="D85" s="1"/>
  <c r="F86"/>
  <c r="C86"/>
  <c r="D86" s="1"/>
  <c r="F87"/>
  <c r="C87"/>
  <c r="D87" s="1"/>
  <c r="F88"/>
  <c r="C88"/>
  <c r="D88" s="1"/>
  <c r="F89"/>
  <c r="C89"/>
  <c r="D89" s="1"/>
  <c r="F90"/>
  <c r="C90"/>
  <c r="D90" s="1"/>
  <c r="F91"/>
  <c r="C91"/>
  <c r="D91" s="1"/>
  <c r="F92"/>
  <c r="C92"/>
  <c r="D92" s="1"/>
  <c r="F93"/>
  <c r="C93"/>
  <c r="D93" s="1"/>
  <c r="F94"/>
  <c r="C94"/>
  <c r="D94" s="1"/>
  <c r="F95"/>
  <c r="C95"/>
  <c r="D95" s="1"/>
  <c r="F96"/>
  <c r="C96"/>
  <c r="D96" s="1"/>
  <c r="F1"/>
  <c r="A2" i="7" s="1"/>
  <c r="F3" i="8"/>
  <c r="A4" i="7" s="1"/>
  <c r="F5" i="8"/>
  <c r="A6" i="7" s="1"/>
  <c r="F7" i="8"/>
  <c r="A8" i="7" s="1"/>
  <c r="F9" i="8"/>
  <c r="A10" i="7" s="1"/>
  <c r="F11" i="8"/>
  <c r="A12" i="7" s="1"/>
  <c r="F13" i="8"/>
  <c r="A14" i="7" s="1"/>
  <c r="F17" i="8"/>
  <c r="F19"/>
  <c r="F21"/>
  <c r="F27"/>
  <c r="F29"/>
  <c r="F31"/>
  <c r="F33"/>
  <c r="F35"/>
  <c r="F37"/>
  <c r="F39"/>
  <c r="F41"/>
  <c r="F43"/>
  <c r="F45"/>
  <c r="F47"/>
  <c r="F49"/>
  <c r="F51"/>
  <c r="F53"/>
  <c r="F55"/>
  <c r="F57"/>
  <c r="F59"/>
  <c r="F61"/>
  <c r="F63"/>
  <c r="F65"/>
  <c r="F67"/>
  <c r="F69"/>
  <c r="V58" i="7"/>
  <c r="V50"/>
  <c r="L56"/>
  <c r="AA56"/>
  <c r="B56"/>
  <c r="C56" s="1"/>
  <c r="D56" s="1"/>
  <c r="E56" s="1"/>
  <c r="F56" s="1"/>
  <c r="G56" s="1"/>
  <c r="H56" s="1"/>
  <c r="M56"/>
  <c r="N56" s="1"/>
  <c r="O56" s="1"/>
  <c r="P56" s="1"/>
  <c r="Q56" s="1"/>
  <c r="R56" s="1"/>
  <c r="S56" s="1"/>
  <c r="AA20"/>
  <c r="L52"/>
  <c r="AA52"/>
  <c r="B52"/>
  <c r="C52" s="1"/>
  <c r="D52" s="1"/>
  <c r="E52" s="1"/>
  <c r="F52" s="1"/>
  <c r="G52" s="1"/>
  <c r="H52" s="1"/>
  <c r="L60"/>
  <c r="AA60"/>
  <c r="B60"/>
  <c r="C60" s="1"/>
  <c r="D60" s="1"/>
  <c r="E60" s="1"/>
  <c r="F60" s="1"/>
  <c r="G60" s="1"/>
  <c r="H60" s="1"/>
  <c r="K60" s="1"/>
  <c r="M52"/>
  <c r="N52" s="1"/>
  <c r="O52" s="1"/>
  <c r="P52" s="1"/>
  <c r="Q52" s="1"/>
  <c r="R52" s="1"/>
  <c r="S52" s="1"/>
  <c r="M60"/>
  <c r="N60" s="1"/>
  <c r="O60" s="1"/>
  <c r="P60" s="1"/>
  <c r="Q60" s="1"/>
  <c r="R60" s="1"/>
  <c r="S60" s="1"/>
  <c r="M53"/>
  <c r="N53" s="1"/>
  <c r="O53" s="1"/>
  <c r="P53" s="1"/>
  <c r="Q53" s="1"/>
  <c r="R53" s="1"/>
  <c r="S53" s="1"/>
  <c r="M57"/>
  <c r="N57" s="1"/>
  <c r="O57" s="1"/>
  <c r="P57" s="1"/>
  <c r="Q57" s="1"/>
  <c r="R57" s="1"/>
  <c r="S57" s="1"/>
  <c r="M61"/>
  <c r="N61" s="1"/>
  <c r="O61" s="1"/>
  <c r="P61" s="1"/>
  <c r="Q61" s="1"/>
  <c r="R61" s="1"/>
  <c r="S61" s="1"/>
  <c r="AA51"/>
  <c r="M51"/>
  <c r="N51" s="1"/>
  <c r="O51" s="1"/>
  <c r="P51" s="1"/>
  <c r="Q51" s="1"/>
  <c r="R51" s="1"/>
  <c r="S51" s="1"/>
  <c r="AA55"/>
  <c r="M55"/>
  <c r="N55" s="1"/>
  <c r="O55" s="1"/>
  <c r="P55" s="1"/>
  <c r="Q55" s="1"/>
  <c r="R55" s="1"/>
  <c r="S55" s="1"/>
  <c r="AA59"/>
  <c r="M59"/>
  <c r="N59" s="1"/>
  <c r="O59" s="1"/>
  <c r="P59" s="1"/>
  <c r="Q59" s="1"/>
  <c r="R59" s="1"/>
  <c r="S59" s="1"/>
  <c r="L51"/>
  <c r="L55"/>
  <c r="L59"/>
  <c r="M32" l="1"/>
  <c r="N32" s="1"/>
  <c r="O32" s="1"/>
  <c r="P32" s="1"/>
  <c r="Q32" s="1"/>
  <c r="R32" s="1"/>
  <c r="S32" s="1"/>
  <c r="T32" s="1"/>
  <c r="U32" s="1"/>
  <c r="V32" s="1"/>
  <c r="B32"/>
  <c r="C32" s="1"/>
  <c r="D32" s="1"/>
  <c r="E32" s="1"/>
  <c r="F32" s="1"/>
  <c r="G32" s="1"/>
  <c r="H32" s="1"/>
  <c r="I32" s="1"/>
  <c r="J32" s="1"/>
  <c r="M30"/>
  <c r="N30" s="1"/>
  <c r="O30" s="1"/>
  <c r="P30" s="1"/>
  <c r="Q30" s="1"/>
  <c r="R30" s="1"/>
  <c r="S30" s="1"/>
  <c r="T30" s="1"/>
  <c r="U30" s="1"/>
  <c r="B29"/>
  <c r="C29" s="1"/>
  <c r="D29" s="1"/>
  <c r="E29" s="1"/>
  <c r="F29" s="1"/>
  <c r="G29" s="1"/>
  <c r="H29" s="1"/>
  <c r="I29" s="1"/>
  <c r="J29" s="1"/>
  <c r="J54"/>
  <c r="K54" s="1"/>
  <c r="J55"/>
  <c r="K55" s="1"/>
  <c r="K51"/>
  <c r="J53"/>
  <c r="K53" s="1"/>
  <c r="I50"/>
  <c r="M37"/>
  <c r="N37" s="1"/>
  <c r="O37" s="1"/>
  <c r="P37" s="1"/>
  <c r="Q37" s="1"/>
  <c r="R37" s="1"/>
  <c r="S37" s="1"/>
  <c r="T37" s="1"/>
  <c r="U37" s="1"/>
  <c r="M41"/>
  <c r="N41" s="1"/>
  <c r="O41" s="1"/>
  <c r="P41" s="1"/>
  <c r="Q41" s="1"/>
  <c r="R41" s="1"/>
  <c r="S41" s="1"/>
  <c r="L28"/>
  <c r="L26"/>
  <c r="M25"/>
  <c r="N25" s="1"/>
  <c r="O25" s="1"/>
  <c r="P25" s="1"/>
  <c r="Q25" s="1"/>
  <c r="R25" s="1"/>
  <c r="S25" s="1"/>
  <c r="T25" s="1"/>
  <c r="U25" s="1"/>
  <c r="AA24"/>
  <c r="L24"/>
  <c r="B23"/>
  <c r="C23" s="1"/>
  <c r="D23" s="1"/>
  <c r="E23" s="1"/>
  <c r="F23" s="1"/>
  <c r="G23" s="1"/>
  <c r="H23" s="1"/>
  <c r="L22"/>
  <c r="M21"/>
  <c r="N21" s="1"/>
  <c r="O21" s="1"/>
  <c r="P21" s="1"/>
  <c r="Q21" s="1"/>
  <c r="R21" s="1"/>
  <c r="S21" s="1"/>
  <c r="T21" s="1"/>
  <c r="U21" s="1"/>
  <c r="L20"/>
  <c r="L18"/>
  <c r="B17"/>
  <c r="C17" s="1"/>
  <c r="D17" s="1"/>
  <c r="E17" s="1"/>
  <c r="F17" s="1"/>
  <c r="G17" s="1"/>
  <c r="H17" s="1"/>
  <c r="M16"/>
  <c r="N16" s="1"/>
  <c r="O16" s="1"/>
  <c r="P16" s="1"/>
  <c r="Q16" s="1"/>
  <c r="R16" s="1"/>
  <c r="S16" s="1"/>
  <c r="T16" s="1"/>
  <c r="U16" s="1"/>
  <c r="L32"/>
  <c r="I52"/>
  <c r="I56"/>
  <c r="AA18"/>
  <c r="L49"/>
  <c r="AA49"/>
  <c r="B49"/>
  <c r="C49" s="1"/>
  <c r="D49" s="1"/>
  <c r="E49" s="1"/>
  <c r="F49" s="1"/>
  <c r="G49" s="1"/>
  <c r="H49" s="1"/>
  <c r="I49" s="1"/>
  <c r="J49" s="1"/>
  <c r="B30"/>
  <c r="C30" s="1"/>
  <c r="D30" s="1"/>
  <c r="E30" s="1"/>
  <c r="F30" s="1"/>
  <c r="G30" s="1"/>
  <c r="H30" s="1"/>
  <c r="I30" s="1"/>
  <c r="J30" s="1"/>
  <c r="AA30"/>
  <c r="L30"/>
  <c r="AA29"/>
  <c r="L45"/>
  <c r="AA45"/>
  <c r="B45"/>
  <c r="C45" s="1"/>
  <c r="D45" s="1"/>
  <c r="E45" s="1"/>
  <c r="F45" s="1"/>
  <c r="G45" s="1"/>
  <c r="H45" s="1"/>
  <c r="I45" s="1"/>
  <c r="J45" s="1"/>
  <c r="AA22"/>
  <c r="AA21"/>
  <c r="AA37"/>
  <c r="B24"/>
  <c r="C24" s="1"/>
  <c r="D24" s="1"/>
  <c r="E24" s="1"/>
  <c r="F24" s="1"/>
  <c r="G24" s="1"/>
  <c r="H24" s="1"/>
  <c r="I24" s="1"/>
  <c r="J24" s="1"/>
  <c r="AA17"/>
  <c r="AA23"/>
  <c r="M49"/>
  <c r="N49" s="1"/>
  <c r="O49" s="1"/>
  <c r="P49" s="1"/>
  <c r="Q49" s="1"/>
  <c r="R49" s="1"/>
  <c r="S49" s="1"/>
  <c r="V49" s="1"/>
  <c r="AA28"/>
  <c r="L33"/>
  <c r="B33"/>
  <c r="C33" s="1"/>
  <c r="D33" s="1"/>
  <c r="E33" s="1"/>
  <c r="F33" s="1"/>
  <c r="G33" s="1"/>
  <c r="H33" s="1"/>
  <c r="I33" s="1"/>
  <c r="J33" s="1"/>
  <c r="AA33"/>
  <c r="AA26"/>
  <c r="AA25"/>
  <c r="AA41"/>
  <c r="L41"/>
  <c r="AA16"/>
  <c r="M24"/>
  <c r="N24" s="1"/>
  <c r="O24" s="1"/>
  <c r="P24" s="1"/>
  <c r="Q24" s="1"/>
  <c r="R24" s="1"/>
  <c r="S24" s="1"/>
  <c r="T24" s="1"/>
  <c r="U24" s="1"/>
  <c r="M45"/>
  <c r="N45" s="1"/>
  <c r="O45" s="1"/>
  <c r="P45" s="1"/>
  <c r="Q45" s="1"/>
  <c r="R45" s="1"/>
  <c r="S45" s="1"/>
  <c r="M29"/>
  <c r="N29" s="1"/>
  <c r="O29" s="1"/>
  <c r="P29" s="1"/>
  <c r="Q29" s="1"/>
  <c r="R29" s="1"/>
  <c r="S29" s="1"/>
  <c r="T29" s="1"/>
  <c r="U29" s="1"/>
  <c r="V53"/>
  <c r="V37"/>
  <c r="V41"/>
  <c r="V56"/>
  <c r="V51"/>
  <c r="V61"/>
  <c r="V52"/>
  <c r="V55"/>
  <c r="V57"/>
  <c r="V59"/>
  <c r="V33"/>
  <c r="V60"/>
  <c r="K32" l="1"/>
  <c r="J50"/>
  <c r="K50" s="1"/>
  <c r="L37"/>
  <c r="B28"/>
  <c r="C28" s="1"/>
  <c r="D28" s="1"/>
  <c r="E28" s="1"/>
  <c r="F28" s="1"/>
  <c r="G28" s="1"/>
  <c r="H28" s="1"/>
  <c r="I28" s="1"/>
  <c r="J28" s="1"/>
  <c r="L29"/>
  <c r="M23"/>
  <c r="N23" s="1"/>
  <c r="O23" s="1"/>
  <c r="P23" s="1"/>
  <c r="Q23" s="1"/>
  <c r="R23" s="1"/>
  <c r="S23" s="1"/>
  <c r="T23" s="1"/>
  <c r="U23" s="1"/>
  <c r="V23" s="1"/>
  <c r="J52"/>
  <c r="K52" s="1"/>
  <c r="J56"/>
  <c r="K56" s="1"/>
  <c r="I23"/>
  <c r="J23" s="1"/>
  <c r="I17"/>
  <c r="J17" s="1"/>
  <c r="B37"/>
  <c r="C37" s="1"/>
  <c r="D37" s="1"/>
  <c r="E37" s="1"/>
  <c r="F37" s="1"/>
  <c r="G37" s="1"/>
  <c r="H37" s="1"/>
  <c r="M22"/>
  <c r="N22" s="1"/>
  <c r="O22" s="1"/>
  <c r="P22" s="1"/>
  <c r="Q22" s="1"/>
  <c r="R22" s="1"/>
  <c r="S22" s="1"/>
  <c r="T22" s="1"/>
  <c r="U22" s="1"/>
  <c r="L16"/>
  <c r="M17"/>
  <c r="N17" s="1"/>
  <c r="O17" s="1"/>
  <c r="P17" s="1"/>
  <c r="Q17" s="1"/>
  <c r="R17" s="1"/>
  <c r="S17" s="1"/>
  <c r="T17" s="1"/>
  <c r="U17" s="1"/>
  <c r="V17" s="1"/>
  <c r="L17"/>
  <c r="B16"/>
  <c r="C16" s="1"/>
  <c r="D16" s="1"/>
  <c r="E16" s="1"/>
  <c r="F16" s="1"/>
  <c r="G16" s="1"/>
  <c r="H16" s="1"/>
  <c r="B41"/>
  <c r="C41" s="1"/>
  <c r="D41" s="1"/>
  <c r="E41" s="1"/>
  <c r="F41" s="1"/>
  <c r="G41" s="1"/>
  <c r="H41" s="1"/>
  <c r="M28"/>
  <c r="N28" s="1"/>
  <c r="O28" s="1"/>
  <c r="P28" s="1"/>
  <c r="Q28" s="1"/>
  <c r="R28" s="1"/>
  <c r="S28" s="1"/>
  <c r="T28" s="1"/>
  <c r="U28" s="1"/>
  <c r="L23"/>
  <c r="M26"/>
  <c r="N26" s="1"/>
  <c r="O26" s="1"/>
  <c r="P26" s="1"/>
  <c r="Q26" s="1"/>
  <c r="R26" s="1"/>
  <c r="S26" s="1"/>
  <c r="T26" s="1"/>
  <c r="U26" s="1"/>
  <c r="M18"/>
  <c r="N18" s="1"/>
  <c r="O18" s="1"/>
  <c r="P18" s="1"/>
  <c r="Q18" s="1"/>
  <c r="R18" s="1"/>
  <c r="S18" s="1"/>
  <c r="T18" s="1"/>
  <c r="U18" s="1"/>
  <c r="B26"/>
  <c r="C26" s="1"/>
  <c r="D26" s="1"/>
  <c r="E26" s="1"/>
  <c r="F26" s="1"/>
  <c r="G26" s="1"/>
  <c r="H26" s="1"/>
  <c r="B25"/>
  <c r="C25" s="1"/>
  <c r="D25" s="1"/>
  <c r="E25" s="1"/>
  <c r="F25" s="1"/>
  <c r="G25" s="1"/>
  <c r="H25" s="1"/>
  <c r="B22"/>
  <c r="C22" s="1"/>
  <c r="D22" s="1"/>
  <c r="E22" s="1"/>
  <c r="F22" s="1"/>
  <c r="G22" s="1"/>
  <c r="H22" s="1"/>
  <c r="B21"/>
  <c r="C21" s="1"/>
  <c r="D21" s="1"/>
  <c r="E21" s="1"/>
  <c r="F21" s="1"/>
  <c r="G21" s="1"/>
  <c r="H21" s="1"/>
  <c r="M20"/>
  <c r="N20" s="1"/>
  <c r="O20" s="1"/>
  <c r="P20" s="1"/>
  <c r="Q20" s="1"/>
  <c r="R20" s="1"/>
  <c r="S20" s="1"/>
  <c r="T20" s="1"/>
  <c r="U20" s="1"/>
  <c r="B20"/>
  <c r="C20" s="1"/>
  <c r="D20" s="1"/>
  <c r="E20" s="1"/>
  <c r="F20" s="1"/>
  <c r="G20" s="1"/>
  <c r="H20" s="1"/>
  <c r="B18"/>
  <c r="C18" s="1"/>
  <c r="D18" s="1"/>
  <c r="E18" s="1"/>
  <c r="F18" s="1"/>
  <c r="G18" s="1"/>
  <c r="H18" s="1"/>
  <c r="K24"/>
  <c r="V24" s="1"/>
  <c r="K29"/>
  <c r="V29" s="1"/>
  <c r="K30"/>
  <c r="K33"/>
  <c r="K45"/>
  <c r="K49"/>
  <c r="B39"/>
  <c r="C39" s="1"/>
  <c r="D39" s="1"/>
  <c r="E39" s="1"/>
  <c r="F39" s="1"/>
  <c r="G39" s="1"/>
  <c r="H39" s="1"/>
  <c r="I39" s="1"/>
  <c r="J39" s="1"/>
  <c r="AA39"/>
  <c r="L39"/>
  <c r="M39"/>
  <c r="N39" s="1"/>
  <c r="O39" s="1"/>
  <c r="P39" s="1"/>
  <c r="Q39" s="1"/>
  <c r="R39" s="1"/>
  <c r="S39" s="1"/>
  <c r="T39" s="1"/>
  <c r="U39" s="1"/>
  <c r="B43"/>
  <c r="C43" s="1"/>
  <c r="D43" s="1"/>
  <c r="E43" s="1"/>
  <c r="F43" s="1"/>
  <c r="G43" s="1"/>
  <c r="H43" s="1"/>
  <c r="I43" s="1"/>
  <c r="J43" s="1"/>
  <c r="M43"/>
  <c r="N43" s="1"/>
  <c r="O43" s="1"/>
  <c r="P43" s="1"/>
  <c r="Q43" s="1"/>
  <c r="R43" s="1"/>
  <c r="S43" s="1"/>
  <c r="AA43"/>
  <c r="L43"/>
  <c r="B4"/>
  <c r="C4" s="1"/>
  <c r="D4" s="1"/>
  <c r="E4" s="1"/>
  <c r="F4" s="1"/>
  <c r="G4" s="1"/>
  <c r="H4" s="1"/>
  <c r="I4" s="1"/>
  <c r="J4" s="1"/>
  <c r="M4"/>
  <c r="N4" s="1"/>
  <c r="O4" s="1"/>
  <c r="P4" s="1"/>
  <c r="Q4" s="1"/>
  <c r="R4" s="1"/>
  <c r="S4" s="1"/>
  <c r="T4" s="1"/>
  <c r="U4" s="1"/>
  <c r="B31"/>
  <c r="C31" s="1"/>
  <c r="D31" s="1"/>
  <c r="E31" s="1"/>
  <c r="F31" s="1"/>
  <c r="G31" s="1"/>
  <c r="H31" s="1"/>
  <c r="I31" s="1"/>
  <c r="J31" s="1"/>
  <c r="AA31"/>
  <c r="L31"/>
  <c r="M31"/>
  <c r="N31" s="1"/>
  <c r="O31" s="1"/>
  <c r="P31" s="1"/>
  <c r="Q31" s="1"/>
  <c r="R31" s="1"/>
  <c r="S31" s="1"/>
  <c r="T31" s="1"/>
  <c r="U31" s="1"/>
  <c r="B11"/>
  <c r="C11" s="1"/>
  <c r="D11" s="1"/>
  <c r="E11" s="1"/>
  <c r="F11" s="1"/>
  <c r="G11" s="1"/>
  <c r="H11" s="1"/>
  <c r="I11" s="1"/>
  <c r="J11" s="1"/>
  <c r="M11"/>
  <c r="N11" s="1"/>
  <c r="O11" s="1"/>
  <c r="P11" s="1"/>
  <c r="Q11" s="1"/>
  <c r="R11" s="1"/>
  <c r="S11" s="1"/>
  <c r="T11" s="1"/>
  <c r="U11" s="1"/>
  <c r="B14"/>
  <c r="C14" s="1"/>
  <c r="D14" s="1"/>
  <c r="E14" s="1"/>
  <c r="F14" s="1"/>
  <c r="G14" s="1"/>
  <c r="H14" s="1"/>
  <c r="I14" s="1"/>
  <c r="J14" s="1"/>
  <c r="M14"/>
  <c r="N14" s="1"/>
  <c r="O14" s="1"/>
  <c r="P14" s="1"/>
  <c r="Q14" s="1"/>
  <c r="R14" s="1"/>
  <c r="S14" s="1"/>
  <c r="T14" s="1"/>
  <c r="U14" s="1"/>
  <c r="AA48"/>
  <c r="L48"/>
  <c r="B48"/>
  <c r="C48" s="1"/>
  <c r="D48" s="1"/>
  <c r="E48" s="1"/>
  <c r="F48" s="1"/>
  <c r="G48" s="1"/>
  <c r="H48" s="1"/>
  <c r="I48" s="1"/>
  <c r="J48" s="1"/>
  <c r="M48"/>
  <c r="N48" s="1"/>
  <c r="O48" s="1"/>
  <c r="P48" s="1"/>
  <c r="Q48" s="1"/>
  <c r="R48" s="1"/>
  <c r="S48" s="1"/>
  <c r="M46"/>
  <c r="N46" s="1"/>
  <c r="O46" s="1"/>
  <c r="P46" s="1"/>
  <c r="Q46" s="1"/>
  <c r="R46" s="1"/>
  <c r="S46" s="1"/>
  <c r="AA46"/>
  <c r="B46"/>
  <c r="C46" s="1"/>
  <c r="D46" s="1"/>
  <c r="E46" s="1"/>
  <c r="F46" s="1"/>
  <c r="G46" s="1"/>
  <c r="H46" s="1"/>
  <c r="I46" s="1"/>
  <c r="J46" s="1"/>
  <c r="L46"/>
  <c r="B47"/>
  <c r="C47" s="1"/>
  <c r="D47" s="1"/>
  <c r="E47" s="1"/>
  <c r="F47" s="1"/>
  <c r="G47" s="1"/>
  <c r="H47" s="1"/>
  <c r="I47" s="1"/>
  <c r="J47" s="1"/>
  <c r="L47"/>
  <c r="AA47"/>
  <c r="M47"/>
  <c r="N47" s="1"/>
  <c r="O47" s="1"/>
  <c r="P47" s="1"/>
  <c r="Q47" s="1"/>
  <c r="R47" s="1"/>
  <c r="S47" s="1"/>
  <c r="B7"/>
  <c r="C7" s="1"/>
  <c r="D7" s="1"/>
  <c r="E7" s="1"/>
  <c r="F7" s="1"/>
  <c r="G7" s="1"/>
  <c r="H7" s="1"/>
  <c r="I7" s="1"/>
  <c r="J7" s="1"/>
  <c r="M7"/>
  <c r="N7" s="1"/>
  <c r="O7" s="1"/>
  <c r="P7" s="1"/>
  <c r="Q7" s="1"/>
  <c r="R7" s="1"/>
  <c r="S7" s="1"/>
  <c r="T7" s="1"/>
  <c r="U7" s="1"/>
  <c r="M6"/>
  <c r="N6" s="1"/>
  <c r="O6" s="1"/>
  <c r="P6" s="1"/>
  <c r="Q6" s="1"/>
  <c r="R6" s="1"/>
  <c r="S6" s="1"/>
  <c r="T6" s="1"/>
  <c r="U6" s="1"/>
  <c r="B6"/>
  <c r="C6" s="1"/>
  <c r="D6" s="1"/>
  <c r="E6" s="1"/>
  <c r="F6" s="1"/>
  <c r="G6" s="1"/>
  <c r="H6" s="1"/>
  <c r="I6" s="1"/>
  <c r="J6" s="1"/>
  <c r="AA40"/>
  <c r="M40"/>
  <c r="N40" s="1"/>
  <c r="O40" s="1"/>
  <c r="P40" s="1"/>
  <c r="Q40" s="1"/>
  <c r="R40" s="1"/>
  <c r="S40" s="1"/>
  <c r="T40" s="1"/>
  <c r="U40" s="1"/>
  <c r="L40"/>
  <c r="B40"/>
  <c r="C40" s="1"/>
  <c r="D40" s="1"/>
  <c r="E40" s="1"/>
  <c r="F40" s="1"/>
  <c r="G40" s="1"/>
  <c r="H40" s="1"/>
  <c r="I40" s="1"/>
  <c r="J40" s="1"/>
  <c r="AA38"/>
  <c r="B38"/>
  <c r="C38" s="1"/>
  <c r="D38" s="1"/>
  <c r="E38" s="1"/>
  <c r="F38" s="1"/>
  <c r="G38" s="1"/>
  <c r="H38" s="1"/>
  <c r="I38" s="1"/>
  <c r="J38" s="1"/>
  <c r="L38"/>
  <c r="M38"/>
  <c r="N38" s="1"/>
  <c r="O38" s="1"/>
  <c r="P38" s="1"/>
  <c r="Q38" s="1"/>
  <c r="R38" s="1"/>
  <c r="S38" s="1"/>
  <c r="T38" s="1"/>
  <c r="U38" s="1"/>
  <c r="M8"/>
  <c r="N8" s="1"/>
  <c r="O8" s="1"/>
  <c r="P8" s="1"/>
  <c r="Q8" s="1"/>
  <c r="R8" s="1"/>
  <c r="S8" s="1"/>
  <c r="T8" s="1"/>
  <c r="U8" s="1"/>
  <c r="B8"/>
  <c r="C8" s="1"/>
  <c r="D8" s="1"/>
  <c r="E8" s="1"/>
  <c r="F8" s="1"/>
  <c r="G8" s="1"/>
  <c r="H8" s="1"/>
  <c r="I8" s="1"/>
  <c r="J8" s="1"/>
  <c r="V45"/>
  <c r="B9"/>
  <c r="C9" s="1"/>
  <c r="D9" s="1"/>
  <c r="E9" s="1"/>
  <c r="F9" s="1"/>
  <c r="G9" s="1"/>
  <c r="H9" s="1"/>
  <c r="I9" s="1"/>
  <c r="J9" s="1"/>
  <c r="M9"/>
  <c r="N9" s="1"/>
  <c r="O9" s="1"/>
  <c r="P9" s="1"/>
  <c r="Q9" s="1"/>
  <c r="R9" s="1"/>
  <c r="S9" s="1"/>
  <c r="T9" s="1"/>
  <c r="U9" s="1"/>
  <c r="B27"/>
  <c r="C27" s="1"/>
  <c r="D27" s="1"/>
  <c r="E27" s="1"/>
  <c r="F27" s="1"/>
  <c r="G27" s="1"/>
  <c r="H27" s="1"/>
  <c r="I27" s="1"/>
  <c r="J27" s="1"/>
  <c r="M27"/>
  <c r="N27" s="1"/>
  <c r="O27" s="1"/>
  <c r="P27" s="1"/>
  <c r="Q27" s="1"/>
  <c r="R27" s="1"/>
  <c r="S27" s="1"/>
  <c r="T27" s="1"/>
  <c r="U27" s="1"/>
  <c r="AA27"/>
  <c r="L27"/>
  <c r="M10"/>
  <c r="N10" s="1"/>
  <c r="O10" s="1"/>
  <c r="P10" s="1"/>
  <c r="Q10" s="1"/>
  <c r="R10" s="1"/>
  <c r="S10" s="1"/>
  <c r="T10" s="1"/>
  <c r="U10" s="1"/>
  <c r="B10"/>
  <c r="C10" s="1"/>
  <c r="D10" s="1"/>
  <c r="E10" s="1"/>
  <c r="F10" s="1"/>
  <c r="G10" s="1"/>
  <c r="H10" s="1"/>
  <c r="I10" s="1"/>
  <c r="J10" s="1"/>
  <c r="B35"/>
  <c r="C35" s="1"/>
  <c r="D35" s="1"/>
  <c r="E35" s="1"/>
  <c r="F35" s="1"/>
  <c r="G35" s="1"/>
  <c r="H35" s="1"/>
  <c r="I35" s="1"/>
  <c r="J35" s="1"/>
  <c r="M35"/>
  <c r="N35" s="1"/>
  <c r="O35" s="1"/>
  <c r="P35" s="1"/>
  <c r="Q35" s="1"/>
  <c r="R35" s="1"/>
  <c r="S35" s="1"/>
  <c r="T35" s="1"/>
  <c r="U35" s="1"/>
  <c r="L35"/>
  <c r="AA35"/>
  <c r="AA42"/>
  <c r="B42"/>
  <c r="C42" s="1"/>
  <c r="D42" s="1"/>
  <c r="E42" s="1"/>
  <c r="F42" s="1"/>
  <c r="G42" s="1"/>
  <c r="H42" s="1"/>
  <c r="I42" s="1"/>
  <c r="J42" s="1"/>
  <c r="L42"/>
  <c r="M42"/>
  <c r="N42" s="1"/>
  <c r="O42" s="1"/>
  <c r="P42" s="1"/>
  <c r="Q42" s="1"/>
  <c r="R42" s="1"/>
  <c r="S42" s="1"/>
  <c r="L15"/>
  <c r="B15"/>
  <c r="C15" s="1"/>
  <c r="D15" s="1"/>
  <c r="E15" s="1"/>
  <c r="F15" s="1"/>
  <c r="G15" s="1"/>
  <c r="H15" s="1"/>
  <c r="I15" s="1"/>
  <c r="J15" s="1"/>
  <c r="M15"/>
  <c r="N15" s="1"/>
  <c r="O15" s="1"/>
  <c r="P15" s="1"/>
  <c r="Q15" s="1"/>
  <c r="R15" s="1"/>
  <c r="S15" s="1"/>
  <c r="T15" s="1"/>
  <c r="U15" s="1"/>
  <c r="AA15"/>
  <c r="L19"/>
  <c r="M19"/>
  <c r="N19" s="1"/>
  <c r="O19" s="1"/>
  <c r="P19" s="1"/>
  <c r="Q19" s="1"/>
  <c r="R19" s="1"/>
  <c r="S19" s="1"/>
  <c r="T19" s="1"/>
  <c r="U19" s="1"/>
  <c r="AA19"/>
  <c r="B19"/>
  <c r="C19" s="1"/>
  <c r="D19" s="1"/>
  <c r="E19" s="1"/>
  <c r="F19" s="1"/>
  <c r="G19" s="1"/>
  <c r="H19" s="1"/>
  <c r="I19" s="1"/>
  <c r="J19" s="1"/>
  <c r="V30"/>
  <c r="AA36"/>
  <c r="M36"/>
  <c r="N36" s="1"/>
  <c r="O36" s="1"/>
  <c r="P36" s="1"/>
  <c r="Q36" s="1"/>
  <c r="R36" s="1"/>
  <c r="S36" s="1"/>
  <c r="T36" s="1"/>
  <c r="U36" s="1"/>
  <c r="B36"/>
  <c r="C36" s="1"/>
  <c r="D36" s="1"/>
  <c r="E36" s="1"/>
  <c r="F36" s="1"/>
  <c r="G36" s="1"/>
  <c r="H36" s="1"/>
  <c r="I36" s="1"/>
  <c r="J36" s="1"/>
  <c r="L36"/>
  <c r="B5"/>
  <c r="C5" s="1"/>
  <c r="D5" s="1"/>
  <c r="E5" s="1"/>
  <c r="F5" s="1"/>
  <c r="G5" s="1"/>
  <c r="H5" s="1"/>
  <c r="I5" s="1"/>
  <c r="J5" s="1"/>
  <c r="M5"/>
  <c r="N5" s="1"/>
  <c r="O5" s="1"/>
  <c r="P5" s="1"/>
  <c r="Q5" s="1"/>
  <c r="R5" s="1"/>
  <c r="S5" s="1"/>
  <c r="T5" s="1"/>
  <c r="U5" s="1"/>
  <c r="B13"/>
  <c r="C13" s="1"/>
  <c r="D13" s="1"/>
  <c r="E13" s="1"/>
  <c r="F13" s="1"/>
  <c r="G13" s="1"/>
  <c r="H13" s="1"/>
  <c r="I13" s="1"/>
  <c r="J13" s="1"/>
  <c r="M13"/>
  <c r="N13" s="1"/>
  <c r="O13" s="1"/>
  <c r="P13" s="1"/>
  <c r="Q13" s="1"/>
  <c r="R13" s="1"/>
  <c r="S13" s="1"/>
  <c r="T13" s="1"/>
  <c r="U13" s="1"/>
  <c r="M12"/>
  <c r="N12" s="1"/>
  <c r="O12" s="1"/>
  <c r="P12" s="1"/>
  <c r="Q12" s="1"/>
  <c r="R12" s="1"/>
  <c r="S12" s="1"/>
  <c r="T12" s="1"/>
  <c r="U12" s="1"/>
  <c r="B12"/>
  <c r="C12" s="1"/>
  <c r="D12" s="1"/>
  <c r="E12" s="1"/>
  <c r="F12" s="1"/>
  <c r="G12" s="1"/>
  <c r="H12" s="1"/>
  <c r="I12" s="1"/>
  <c r="J12" s="1"/>
  <c r="B44"/>
  <c r="C44" s="1"/>
  <c r="D44" s="1"/>
  <c r="E44" s="1"/>
  <c r="F44" s="1"/>
  <c r="G44" s="1"/>
  <c r="H44" s="1"/>
  <c r="I44" s="1"/>
  <c r="J44" s="1"/>
  <c r="M44"/>
  <c r="N44" s="1"/>
  <c r="O44" s="1"/>
  <c r="P44" s="1"/>
  <c r="Q44" s="1"/>
  <c r="R44" s="1"/>
  <c r="S44" s="1"/>
  <c r="AA44"/>
  <c r="L44"/>
  <c r="B3"/>
  <c r="C3" s="1"/>
  <c r="D3" s="1"/>
  <c r="E3" s="1"/>
  <c r="F3" s="1"/>
  <c r="G3" s="1"/>
  <c r="H3" s="1"/>
  <c r="I3" s="1"/>
  <c r="J3" s="1"/>
  <c r="M3"/>
  <c r="N3" s="1"/>
  <c r="O3" s="1"/>
  <c r="P3" s="1"/>
  <c r="Q3" s="1"/>
  <c r="R3" s="1"/>
  <c r="S3" s="1"/>
  <c r="T3" s="1"/>
  <c r="U3" s="1"/>
  <c r="B34"/>
  <c r="C34" s="1"/>
  <c r="D34" s="1"/>
  <c r="E34" s="1"/>
  <c r="F34" s="1"/>
  <c r="G34" s="1"/>
  <c r="H34" s="1"/>
  <c r="I34" s="1"/>
  <c r="J34" s="1"/>
  <c r="AA34"/>
  <c r="L34"/>
  <c r="M34"/>
  <c r="N34" s="1"/>
  <c r="O34" s="1"/>
  <c r="P34" s="1"/>
  <c r="Q34" s="1"/>
  <c r="R34" s="1"/>
  <c r="S34" s="1"/>
  <c r="T34" s="1"/>
  <c r="U34" s="1"/>
  <c r="M2"/>
  <c r="N2" s="1"/>
  <c r="O2" s="1"/>
  <c r="P2" s="1"/>
  <c r="Q2" s="1"/>
  <c r="R2" s="1"/>
  <c r="S2" s="1"/>
  <c r="T2" s="1"/>
  <c r="U2" s="1"/>
  <c r="B2"/>
  <c r="C2" s="1"/>
  <c r="D2" s="1"/>
  <c r="E2" s="1"/>
  <c r="F2" s="1"/>
  <c r="G2" s="1"/>
  <c r="K28" l="1"/>
  <c r="K23"/>
  <c r="K17"/>
  <c r="V28"/>
  <c r="I20"/>
  <c r="J20" s="1"/>
  <c r="I25"/>
  <c r="J25" s="1"/>
  <c r="I37"/>
  <c r="J37" s="1"/>
  <c r="I18"/>
  <c r="J18" s="1"/>
  <c r="I22"/>
  <c r="J22" s="1"/>
  <c r="I16"/>
  <c r="J16" s="1"/>
  <c r="I21"/>
  <c r="J21" s="1"/>
  <c r="I41"/>
  <c r="J41" s="1"/>
  <c r="I26"/>
  <c r="J26" s="1"/>
  <c r="AD134" i="1"/>
  <c r="AH143"/>
  <c r="Y82" i="10"/>
  <c r="AH130" i="1"/>
  <c r="AD121"/>
  <c r="Y88" i="10"/>
  <c r="AD94" i="1"/>
  <c r="AH103"/>
  <c r="X80" i="10"/>
  <c r="Y81"/>
  <c r="W80"/>
  <c r="X81"/>
  <c r="W86"/>
  <c r="X87"/>
  <c r="U84"/>
  <c r="V85"/>
  <c r="S82"/>
  <c r="T83"/>
  <c r="Q80"/>
  <c r="R81"/>
  <c r="L25" i="7"/>
  <c r="L21"/>
  <c r="K34"/>
  <c r="K36"/>
  <c r="K35"/>
  <c r="K38"/>
  <c r="K42"/>
  <c r="K46"/>
  <c r="K11"/>
  <c r="K12"/>
  <c r="K10"/>
  <c r="K43"/>
  <c r="K39"/>
  <c r="K31"/>
  <c r="K15"/>
  <c r="V15" s="1"/>
  <c r="AH77" i="1" s="1"/>
  <c r="K27" i="7"/>
  <c r="V27" s="1"/>
  <c r="K48"/>
  <c r="K13"/>
  <c r="K40"/>
  <c r="K44"/>
  <c r="K19"/>
  <c r="V19" s="1"/>
  <c r="K9"/>
  <c r="K47"/>
  <c r="H2"/>
  <c r="I2" s="1"/>
  <c r="J2" s="1"/>
  <c r="V47"/>
  <c r="V48"/>
  <c r="V46"/>
  <c r="V31"/>
  <c r="V43"/>
  <c r="V44"/>
  <c r="V39"/>
  <c r="V35"/>
  <c r="V38"/>
  <c r="V34"/>
  <c r="V36"/>
  <c r="V42"/>
  <c r="V40"/>
  <c r="V13" l="1"/>
  <c r="Q103" i="1" s="1"/>
  <c r="L13" i="7"/>
  <c r="V12"/>
  <c r="M81" i="1" s="1"/>
  <c r="L12" i="7"/>
  <c r="V9"/>
  <c r="X95" i="10" s="1"/>
  <c r="L9" i="7"/>
  <c r="V11"/>
  <c r="Q77" i="1" s="1"/>
  <c r="L11" i="7"/>
  <c r="V10"/>
  <c r="Q64" i="1" s="1"/>
  <c r="L10" i="7"/>
  <c r="K21"/>
  <c r="V21" s="1"/>
  <c r="K37"/>
  <c r="K41"/>
  <c r="K18"/>
  <c r="V18" s="1"/>
  <c r="K16"/>
  <c r="V16" s="1"/>
  <c r="AD81" i="1" s="1"/>
  <c r="K25" i="7"/>
  <c r="V25" s="1"/>
  <c r="K26"/>
  <c r="V26" s="1"/>
  <c r="K22"/>
  <c r="V22" s="1"/>
  <c r="AD108" i="1" s="1"/>
  <c r="K20" i="7"/>
  <c r="V20" s="1"/>
  <c r="X82" i="10"/>
  <c r="Y83"/>
  <c r="V80"/>
  <c r="AH117" i="1"/>
  <c r="W81" i="10"/>
  <c r="Y80"/>
  <c r="AH156" i="1"/>
  <c r="AD147"/>
  <c r="Y84" i="10"/>
  <c r="M147" i="1"/>
  <c r="Q156"/>
  <c r="M134"/>
  <c r="Q143"/>
  <c r="Y86" i="10"/>
  <c r="Q130" i="1"/>
  <c r="M121"/>
  <c r="V84" i="10"/>
  <c r="M108" i="1"/>
  <c r="Q117"/>
  <c r="S81" i="10"/>
  <c r="Y90"/>
  <c r="AD68" i="1"/>
  <c r="U83" i="10"/>
  <c r="Y87"/>
  <c r="W85"/>
  <c r="T82"/>
  <c r="X86"/>
  <c r="R80"/>
  <c r="W82"/>
  <c r="X83"/>
  <c r="U80"/>
  <c r="V81"/>
  <c r="X84"/>
  <c r="Y85"/>
  <c r="V82"/>
  <c r="W83"/>
  <c r="T80"/>
  <c r="U81"/>
  <c r="W84"/>
  <c r="X85"/>
  <c r="U82"/>
  <c r="V83"/>
  <c r="S80"/>
  <c r="T81"/>
  <c r="W88"/>
  <c r="X89"/>
  <c r="U86"/>
  <c r="V87"/>
  <c r="S84"/>
  <c r="T85"/>
  <c r="Q82"/>
  <c r="R83"/>
  <c r="O80"/>
  <c r="P81"/>
  <c r="K4" i="7"/>
  <c r="V4" s="1"/>
  <c r="K3"/>
  <c r="K6"/>
  <c r="L14"/>
  <c r="K14"/>
  <c r="V14" s="1"/>
  <c r="K5"/>
  <c r="K8"/>
  <c r="L8" s="1"/>
  <c r="K7"/>
  <c r="AA13"/>
  <c r="K2"/>
  <c r="AA10"/>
  <c r="AA9"/>
  <c r="AA11"/>
  <c r="AA12"/>
  <c r="AA14"/>
  <c r="X92" i="10" l="1"/>
  <c r="Q90" i="1"/>
  <c r="Q85" i="10"/>
  <c r="P84"/>
  <c r="Y93"/>
  <c r="O82"/>
  <c r="W90"/>
  <c r="S86"/>
  <c r="L80"/>
  <c r="T88"/>
  <c r="M81"/>
  <c r="U89"/>
  <c r="O83"/>
  <c r="S87"/>
  <c r="W91"/>
  <c r="T89"/>
  <c r="N82"/>
  <c r="R86"/>
  <c r="V90"/>
  <c r="T87"/>
  <c r="X91"/>
  <c r="Y92"/>
  <c r="M80"/>
  <c r="Q84"/>
  <c r="U88"/>
  <c r="M94" i="1"/>
  <c r="P83" i="10"/>
  <c r="N81"/>
  <c r="R85"/>
  <c r="V89"/>
  <c r="R87"/>
  <c r="N83"/>
  <c r="K80"/>
  <c r="X93"/>
  <c r="M68" i="1"/>
  <c r="W92" i="10"/>
  <c r="T90"/>
  <c r="P85"/>
  <c r="S88"/>
  <c r="Y94"/>
  <c r="L81"/>
  <c r="O84"/>
  <c r="V91"/>
  <c r="Q88"/>
  <c r="M82"/>
  <c r="Q86"/>
  <c r="U90"/>
  <c r="Y95"/>
  <c r="I80"/>
  <c r="V92"/>
  <c r="Y96"/>
  <c r="M84"/>
  <c r="U92"/>
  <c r="S89"/>
  <c r="J81"/>
  <c r="R89"/>
  <c r="V93"/>
  <c r="L82"/>
  <c r="K81"/>
  <c r="R88"/>
  <c r="U91"/>
  <c r="AD40" i="1"/>
  <c r="AH49"/>
  <c r="K82" i="10"/>
  <c r="O86"/>
  <c r="S90"/>
  <c r="W94"/>
  <c r="X94"/>
  <c r="W93"/>
  <c r="N84"/>
  <c r="Q87"/>
  <c r="M55" i="1"/>
  <c r="N85" i="10"/>
  <c r="L83"/>
  <c r="P87"/>
  <c r="T91"/>
  <c r="P86"/>
  <c r="O85"/>
  <c r="J80"/>
  <c r="M83"/>
  <c r="V5" i="7"/>
  <c r="Y100" i="10" s="1"/>
  <c r="L5" i="7"/>
  <c r="V3"/>
  <c r="S96" i="10" s="1"/>
  <c r="L3" i="7"/>
  <c r="V7"/>
  <c r="J83" i="10" s="1"/>
  <c r="L7" i="7"/>
  <c r="V6"/>
  <c r="V96" i="10" s="1"/>
  <c r="L6" i="7"/>
  <c r="Y89" i="10"/>
  <c r="S83"/>
  <c r="AH90" i="1"/>
  <c r="W87" i="10"/>
  <c r="P80"/>
  <c r="Q81"/>
  <c r="T84"/>
  <c r="V86"/>
  <c r="U85"/>
  <c r="X88"/>
  <c r="R82"/>
  <c r="AD55" i="1"/>
  <c r="AH64"/>
  <c r="L4" i="7"/>
  <c r="W100" i="10"/>
  <c r="X90"/>
  <c r="Y91"/>
  <c r="V88"/>
  <c r="W89"/>
  <c r="T86"/>
  <c r="U87"/>
  <c r="R84"/>
  <c r="S85"/>
  <c r="P82"/>
  <c r="Q83"/>
  <c r="N80"/>
  <c r="O81"/>
  <c r="X100"/>
  <c r="Y101"/>
  <c r="V98"/>
  <c r="W99"/>
  <c r="T96"/>
  <c r="U97"/>
  <c r="R94"/>
  <c r="S95"/>
  <c r="P92"/>
  <c r="Q93"/>
  <c r="N90"/>
  <c r="O91"/>
  <c r="L88"/>
  <c r="M89"/>
  <c r="J86"/>
  <c r="K87"/>
  <c r="H84"/>
  <c r="I85"/>
  <c r="F82"/>
  <c r="G83"/>
  <c r="D80"/>
  <c r="E81"/>
  <c r="M27" i="1"/>
  <c r="Q36"/>
  <c r="V8" i="7"/>
  <c r="L2"/>
  <c r="V2"/>
  <c r="B80" i="10" s="1"/>
  <c r="Q94" l="1"/>
  <c r="M14" i="1"/>
  <c r="D81" i="10"/>
  <c r="K85"/>
  <c r="Q91"/>
  <c r="J87"/>
  <c r="T94"/>
  <c r="X101"/>
  <c r="O89"/>
  <c r="U95"/>
  <c r="X98"/>
  <c r="U98"/>
  <c r="AH10" i="1"/>
  <c r="I83" i="10"/>
  <c r="L86"/>
  <c r="S93"/>
  <c r="Y99"/>
  <c r="F83"/>
  <c r="E82"/>
  <c r="P93"/>
  <c r="K88"/>
  <c r="H82"/>
  <c r="N91"/>
  <c r="T97"/>
  <c r="O92"/>
  <c r="AD1" i="1"/>
  <c r="G81" i="10"/>
  <c r="M87"/>
  <c r="P90"/>
  <c r="W97"/>
  <c r="I86"/>
  <c r="Y102"/>
  <c r="H85"/>
  <c r="G84"/>
  <c r="L87"/>
  <c r="Y98"/>
  <c r="AH23" i="1"/>
  <c r="H83" i="10"/>
  <c r="X99"/>
  <c r="V95"/>
  <c r="T95"/>
  <c r="R91"/>
  <c r="Q23" i="1"/>
  <c r="P91" i="10"/>
  <c r="F80"/>
  <c r="J84"/>
  <c r="N88"/>
  <c r="R92"/>
  <c r="N87"/>
  <c r="R95"/>
  <c r="V99"/>
  <c r="M90"/>
  <c r="L89"/>
  <c r="C80"/>
  <c r="E80"/>
  <c r="I84"/>
  <c r="Q92"/>
  <c r="U96"/>
  <c r="G80"/>
  <c r="O88"/>
  <c r="W96"/>
  <c r="M40" i="1"/>
  <c r="F81" i="10"/>
  <c r="J85"/>
  <c r="N89"/>
  <c r="R93"/>
  <c r="V97"/>
  <c r="H81"/>
  <c r="L85"/>
  <c r="P89"/>
  <c r="T93"/>
  <c r="X97"/>
  <c r="Q49" i="1"/>
  <c r="M88" i="10"/>
  <c r="K84"/>
  <c r="S92"/>
  <c r="AD14" i="1"/>
  <c r="G82" i="10"/>
  <c r="K86"/>
  <c r="O90"/>
  <c r="S94"/>
  <c r="W98"/>
  <c r="I82"/>
  <c r="M86"/>
  <c r="Q90"/>
  <c r="U94"/>
  <c r="E24" i="6"/>
  <c r="I24" s="1"/>
  <c r="E21"/>
  <c r="I21" s="1"/>
  <c r="AH36" i="1"/>
  <c r="Y97" i="10"/>
  <c r="U93"/>
  <c r="Q89"/>
  <c r="M85"/>
  <c r="I81"/>
  <c r="V94"/>
  <c r="R90"/>
  <c r="E18" i="6" s="1"/>
  <c r="I18" s="1"/>
  <c r="N86" i="10"/>
  <c r="J82"/>
  <c r="E10" i="6" s="1"/>
  <c r="I10" s="1"/>
  <c r="S91" i="10"/>
  <c r="K83"/>
  <c r="E11" i="6" s="1"/>
  <c r="I11" s="1"/>
  <c r="W95" i="10"/>
  <c r="O87"/>
  <c r="T92"/>
  <c r="E20" i="6" s="1"/>
  <c r="I20" s="1"/>
  <c r="L84" i="10"/>
  <c r="X96"/>
  <c r="P88"/>
  <c r="H80"/>
  <c r="E2" i="6"/>
  <c r="I2" s="1"/>
  <c r="X102" i="10"/>
  <c r="Y103"/>
  <c r="V100"/>
  <c r="E22" i="6" s="1"/>
  <c r="I22" s="1"/>
  <c r="W101" i="10"/>
  <c r="T98"/>
  <c r="U99"/>
  <c r="R96"/>
  <c r="S97"/>
  <c r="P94"/>
  <c r="E16" i="6" s="1"/>
  <c r="I16" s="1"/>
  <c r="Q95" i="10"/>
  <c r="E17" i="6" s="1"/>
  <c r="I17" s="1"/>
  <c r="N92" i="10"/>
  <c r="O93"/>
  <c r="L90"/>
  <c r="M91"/>
  <c r="J88"/>
  <c r="K89"/>
  <c r="H86"/>
  <c r="I87"/>
  <c r="F84"/>
  <c r="G85"/>
  <c r="D82"/>
  <c r="E4" i="6" s="1"/>
  <c r="I4" s="1"/>
  <c r="E83" i="10"/>
  <c r="C81"/>
  <c r="AD27" i="1"/>
  <c r="M1"/>
  <c r="Q10"/>
  <c r="E6" i="6" l="1"/>
  <c r="I6" s="1"/>
  <c r="K6" i="11" s="1"/>
  <c r="E3" i="6"/>
  <c r="I3" s="1"/>
  <c r="K1" i="5" s="1"/>
  <c r="E5" i="6"/>
  <c r="I5" s="1"/>
  <c r="E6" i="11" s="1"/>
  <c r="E7" i="6"/>
  <c r="I7" s="1"/>
  <c r="E11" i="5" s="1"/>
  <c r="E23" i="6"/>
  <c r="I23" s="1"/>
  <c r="E36" i="11" s="1"/>
  <c r="E14" i="6"/>
  <c r="I14" s="1"/>
  <c r="E21" i="11" s="1"/>
  <c r="E8" i="6"/>
  <c r="I8" s="1"/>
  <c r="E15"/>
  <c r="I15" s="1"/>
  <c r="K21" i="5" s="1"/>
  <c r="E31"/>
  <c r="E31" i="11"/>
  <c r="Q11" i="5"/>
  <c r="Q11" i="11"/>
  <c r="E26" i="5"/>
  <c r="E26" i="11"/>
  <c r="E16" i="5"/>
  <c r="E16" i="11"/>
  <c r="K26" i="5"/>
  <c r="K26" i="11"/>
  <c r="K36" i="5"/>
  <c r="K36" i="11"/>
  <c r="Q31" i="5"/>
  <c r="Q31" i="11"/>
  <c r="K31" i="5"/>
  <c r="K31" i="11"/>
  <c r="Q21" i="5"/>
  <c r="Q21" i="11"/>
  <c r="E1" i="5"/>
  <c r="E1" i="11"/>
  <c r="Q1" i="5"/>
  <c r="Q1" i="11"/>
  <c r="E25" i="6"/>
  <c r="I25" s="1"/>
  <c r="E19"/>
  <c r="I19" s="1"/>
  <c r="E13"/>
  <c r="I13" s="1"/>
  <c r="E12"/>
  <c r="I12" s="1"/>
  <c r="E9"/>
  <c r="I9" s="1"/>
  <c r="AH151" i="1"/>
  <c r="Y147"/>
  <c r="AH138"/>
  <c r="Y134"/>
  <c r="AH125"/>
  <c r="Y121"/>
  <c r="AH112"/>
  <c r="Y108"/>
  <c r="AH98"/>
  <c r="Y94"/>
  <c r="AH85"/>
  <c r="Y81"/>
  <c r="Q151"/>
  <c r="H147"/>
  <c r="Q138"/>
  <c r="H134"/>
  <c r="Q125"/>
  <c r="H121"/>
  <c r="Q112"/>
  <c r="H108"/>
  <c r="M29" i="3"/>
  <c r="N29"/>
  <c r="P29" s="1"/>
  <c r="Q29" s="1"/>
  <c r="R29" s="1"/>
  <c r="S29" s="1"/>
  <c r="T29" s="1"/>
  <c r="U29" s="1"/>
  <c r="V29" s="1"/>
  <c r="M30"/>
  <c r="N30"/>
  <c r="P30" s="1"/>
  <c r="Q30" s="1"/>
  <c r="R30" s="1"/>
  <c r="S30" s="1"/>
  <c r="T30" s="1"/>
  <c r="U30" s="1"/>
  <c r="V30" s="1"/>
  <c r="M31"/>
  <c r="N31"/>
  <c r="P31" s="1"/>
  <c r="Q31" s="1"/>
  <c r="R31" s="1"/>
  <c r="S31" s="1"/>
  <c r="T31" s="1"/>
  <c r="U31" s="1"/>
  <c r="V31" s="1"/>
  <c r="M32"/>
  <c r="N32"/>
  <c r="P32" s="1"/>
  <c r="Q32" s="1"/>
  <c r="R32" s="1"/>
  <c r="S32" s="1"/>
  <c r="T32" s="1"/>
  <c r="U32" s="1"/>
  <c r="V32" s="1"/>
  <c r="M33"/>
  <c r="N33"/>
  <c r="P33" s="1"/>
  <c r="Q33" s="1"/>
  <c r="R33" s="1"/>
  <c r="S33" s="1"/>
  <c r="T33" s="1"/>
  <c r="U33" s="1"/>
  <c r="V33" s="1"/>
  <c r="B7"/>
  <c r="E7" s="1"/>
  <c r="H7" s="1"/>
  <c r="K7" s="1"/>
  <c r="N7" s="1"/>
  <c r="P7" s="1"/>
  <c r="Q7" s="1"/>
  <c r="R7" s="1"/>
  <c r="S7" s="1"/>
  <c r="T7" s="1"/>
  <c r="U7" s="1"/>
  <c r="V7" s="1"/>
  <c r="B8"/>
  <c r="E8" s="1"/>
  <c r="H8" s="1"/>
  <c r="K8" s="1"/>
  <c r="N8" s="1"/>
  <c r="P8" s="1"/>
  <c r="Q8" s="1"/>
  <c r="R8" s="1"/>
  <c r="S8" s="1"/>
  <c r="T8" s="1"/>
  <c r="U8" s="1"/>
  <c r="V8" s="1"/>
  <c r="W43" i="10" s="1"/>
  <c r="B9" i="3"/>
  <c r="E9" s="1"/>
  <c r="H9" s="1"/>
  <c r="K9" s="1"/>
  <c r="N9" s="1"/>
  <c r="P9" s="1"/>
  <c r="Q9" s="1"/>
  <c r="R9" s="1"/>
  <c r="S9" s="1"/>
  <c r="T9" s="1"/>
  <c r="U9" s="1"/>
  <c r="V9" s="1"/>
  <c r="X43" i="10" s="1"/>
  <c r="B10" i="3"/>
  <c r="E10" s="1"/>
  <c r="H10" s="1"/>
  <c r="K10" s="1"/>
  <c r="N10" s="1"/>
  <c r="P10" s="1"/>
  <c r="Q10" s="1"/>
  <c r="R10" s="1"/>
  <c r="S10" s="1"/>
  <c r="T10" s="1"/>
  <c r="U10" s="1"/>
  <c r="V10" s="1"/>
  <c r="B11"/>
  <c r="E11" s="1"/>
  <c r="H11" s="1"/>
  <c r="K11" s="1"/>
  <c r="N11" s="1"/>
  <c r="P11" s="1"/>
  <c r="Q11" s="1"/>
  <c r="R11" s="1"/>
  <c r="S11" s="1"/>
  <c r="T11" s="1"/>
  <c r="U11" s="1"/>
  <c r="V11" s="1"/>
  <c r="B12"/>
  <c r="E12" s="1"/>
  <c r="H12" s="1"/>
  <c r="K12" s="1"/>
  <c r="N12" s="1"/>
  <c r="P12" s="1"/>
  <c r="Q12" s="1"/>
  <c r="R12" s="1"/>
  <c r="S12" s="1"/>
  <c r="T12" s="1"/>
  <c r="U12" s="1"/>
  <c r="V12" s="1"/>
  <c r="B13"/>
  <c r="E13" s="1"/>
  <c r="H13" s="1"/>
  <c r="K13" s="1"/>
  <c r="N13" s="1"/>
  <c r="P13" s="1"/>
  <c r="Q13" s="1"/>
  <c r="R13" s="1"/>
  <c r="S13" s="1"/>
  <c r="T13" s="1"/>
  <c r="U13" s="1"/>
  <c r="V13" s="1"/>
  <c r="B14"/>
  <c r="E14" s="1"/>
  <c r="H14" s="1"/>
  <c r="K14" s="1"/>
  <c r="N14" s="1"/>
  <c r="P14" s="1"/>
  <c r="Q14" s="1"/>
  <c r="R14" s="1"/>
  <c r="S14" s="1"/>
  <c r="T14" s="1"/>
  <c r="U14" s="1"/>
  <c r="V14" s="1"/>
  <c r="B15"/>
  <c r="E15" s="1"/>
  <c r="H15" s="1"/>
  <c r="K15" s="1"/>
  <c r="N15" s="1"/>
  <c r="P15" s="1"/>
  <c r="Q15" s="1"/>
  <c r="R15" s="1"/>
  <c r="S15" s="1"/>
  <c r="T15" s="1"/>
  <c r="U15" s="1"/>
  <c r="V15" s="1"/>
  <c r="T72" i="1" s="1"/>
  <c r="B16" i="3"/>
  <c r="E16" s="1"/>
  <c r="H16" s="1"/>
  <c r="K16" s="1"/>
  <c r="N16" s="1"/>
  <c r="P16" s="1"/>
  <c r="Q16" s="1"/>
  <c r="R16" s="1"/>
  <c r="S16" s="1"/>
  <c r="T16" s="1"/>
  <c r="U16" s="1"/>
  <c r="V16" s="1"/>
  <c r="T85" i="1" s="1"/>
  <c r="B17" i="3"/>
  <c r="E17" s="1"/>
  <c r="H17" s="1"/>
  <c r="K17" s="1"/>
  <c r="N17" s="1"/>
  <c r="P17" s="1"/>
  <c r="Q17" s="1"/>
  <c r="R17" s="1"/>
  <c r="S17" s="1"/>
  <c r="T17" s="1"/>
  <c r="U17" s="1"/>
  <c r="V17" s="1"/>
  <c r="T98" i="1" s="1"/>
  <c r="B18" i="3"/>
  <c r="E18" s="1"/>
  <c r="H18" s="1"/>
  <c r="K18" s="1"/>
  <c r="N18" s="1"/>
  <c r="P18" s="1"/>
  <c r="Q18" s="1"/>
  <c r="R18" s="1"/>
  <c r="S18" s="1"/>
  <c r="T18" s="1"/>
  <c r="U18" s="1"/>
  <c r="V18" s="1"/>
  <c r="C112" i="1" s="1"/>
  <c r="B19" i="3"/>
  <c r="E19" s="1"/>
  <c r="H19" s="1"/>
  <c r="K19" s="1"/>
  <c r="N19" s="1"/>
  <c r="P19" s="1"/>
  <c r="Q19" s="1"/>
  <c r="R19" s="1"/>
  <c r="S19" s="1"/>
  <c r="T19" s="1"/>
  <c r="U19" s="1"/>
  <c r="V19" s="1"/>
  <c r="C125" i="1" s="1"/>
  <c r="B20" i="3"/>
  <c r="E20" s="1"/>
  <c r="H20" s="1"/>
  <c r="K20" s="1"/>
  <c r="N20" s="1"/>
  <c r="P20" s="1"/>
  <c r="Q20" s="1"/>
  <c r="R20" s="1"/>
  <c r="S20" s="1"/>
  <c r="T20" s="1"/>
  <c r="U20" s="1"/>
  <c r="V20" s="1"/>
  <c r="C138" i="1" s="1"/>
  <c r="B21" i="3"/>
  <c r="E21" s="1"/>
  <c r="H21" s="1"/>
  <c r="K21" s="1"/>
  <c r="N21" s="1"/>
  <c r="P21" s="1"/>
  <c r="Q21" s="1"/>
  <c r="R21" s="1"/>
  <c r="S21" s="1"/>
  <c r="T21" s="1"/>
  <c r="U21" s="1"/>
  <c r="V21" s="1"/>
  <c r="C151" i="1" s="1"/>
  <c r="B22" i="3"/>
  <c r="E22" s="1"/>
  <c r="H22" s="1"/>
  <c r="K22" s="1"/>
  <c r="N22" s="1"/>
  <c r="P22" s="1"/>
  <c r="Q22" s="1"/>
  <c r="R22" s="1"/>
  <c r="S22" s="1"/>
  <c r="T22" s="1"/>
  <c r="U22" s="1"/>
  <c r="V22" s="1"/>
  <c r="T112" i="1" s="1"/>
  <c r="B23" i="3"/>
  <c r="E23" s="1"/>
  <c r="H23" s="1"/>
  <c r="K23" s="1"/>
  <c r="N23" s="1"/>
  <c r="P23" s="1"/>
  <c r="Q23" s="1"/>
  <c r="R23" s="1"/>
  <c r="S23" s="1"/>
  <c r="T23" s="1"/>
  <c r="U23" s="1"/>
  <c r="V23" s="1"/>
  <c r="T125" i="1" s="1"/>
  <c r="B24" i="3"/>
  <c r="E24" s="1"/>
  <c r="H24" s="1"/>
  <c r="K24" s="1"/>
  <c r="N24" s="1"/>
  <c r="P24" s="1"/>
  <c r="Q24" s="1"/>
  <c r="R24" s="1"/>
  <c r="S24" s="1"/>
  <c r="T24" s="1"/>
  <c r="U24" s="1"/>
  <c r="V24" s="1"/>
  <c r="T138" i="1" s="1"/>
  <c r="B25" i="3"/>
  <c r="E25" s="1"/>
  <c r="H25" s="1"/>
  <c r="K25" s="1"/>
  <c r="N25" s="1"/>
  <c r="P25" s="1"/>
  <c r="Q25" s="1"/>
  <c r="R25" s="1"/>
  <c r="S25" s="1"/>
  <c r="T25" s="1"/>
  <c r="U25" s="1"/>
  <c r="V25" s="1"/>
  <c r="B26"/>
  <c r="E26" s="1"/>
  <c r="H26" s="1"/>
  <c r="K26" s="1"/>
  <c r="N26" s="1"/>
  <c r="P26" s="1"/>
  <c r="Q26" s="1"/>
  <c r="R26" s="1"/>
  <c r="S26" s="1"/>
  <c r="T26" s="1"/>
  <c r="U26" s="1"/>
  <c r="V26" s="1"/>
  <c r="B27"/>
  <c r="E27" s="1"/>
  <c r="H27" s="1"/>
  <c r="K27" s="1"/>
  <c r="N27" s="1"/>
  <c r="P27" s="1"/>
  <c r="Q27" s="1"/>
  <c r="R27" s="1"/>
  <c r="S27" s="1"/>
  <c r="T27" s="1"/>
  <c r="U27" s="1"/>
  <c r="V27" s="1"/>
  <c r="B28"/>
  <c r="E28" s="1"/>
  <c r="H28" s="1"/>
  <c r="K28" s="1"/>
  <c r="N28" s="1"/>
  <c r="P28" s="1"/>
  <c r="Q28" s="1"/>
  <c r="R28" s="1"/>
  <c r="S28" s="1"/>
  <c r="T28" s="1"/>
  <c r="U28" s="1"/>
  <c r="V28" s="1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A7"/>
  <c r="D7" s="1"/>
  <c r="G7" s="1"/>
  <c r="J7" s="1"/>
  <c r="A8"/>
  <c r="D8" s="1"/>
  <c r="G8" s="1"/>
  <c r="J8" s="1"/>
  <c r="A9"/>
  <c r="D9" s="1"/>
  <c r="G9" s="1"/>
  <c r="J9" s="1"/>
  <c r="A10"/>
  <c r="D10" s="1"/>
  <c r="G10" s="1"/>
  <c r="J10" s="1"/>
  <c r="A11"/>
  <c r="D11" s="1"/>
  <c r="G11" s="1"/>
  <c r="J11" s="1"/>
  <c r="A12"/>
  <c r="D12" s="1"/>
  <c r="G12" s="1"/>
  <c r="J12" s="1"/>
  <c r="A13"/>
  <c r="D13" s="1"/>
  <c r="G13" s="1"/>
  <c r="J13" s="1"/>
  <c r="A14"/>
  <c r="D14" s="1"/>
  <c r="G14" s="1"/>
  <c r="J14" s="1"/>
  <c r="A15"/>
  <c r="D15" s="1"/>
  <c r="G15" s="1"/>
  <c r="J15" s="1"/>
  <c r="A16"/>
  <c r="D16" s="1"/>
  <c r="G16" s="1"/>
  <c r="J16" s="1"/>
  <c r="A17"/>
  <c r="D17" s="1"/>
  <c r="G17" s="1"/>
  <c r="J17" s="1"/>
  <c r="A18"/>
  <c r="D18" s="1"/>
  <c r="G18" s="1"/>
  <c r="J18" s="1"/>
  <c r="A19"/>
  <c r="D19" s="1"/>
  <c r="G19" s="1"/>
  <c r="J19" s="1"/>
  <c r="A20"/>
  <c r="D20" s="1"/>
  <c r="G20" s="1"/>
  <c r="J20" s="1"/>
  <c r="A21"/>
  <c r="D21" s="1"/>
  <c r="G21" s="1"/>
  <c r="J21" s="1"/>
  <c r="A22"/>
  <c r="D22" s="1"/>
  <c r="G22" s="1"/>
  <c r="J22" s="1"/>
  <c r="A23"/>
  <c r="D23" s="1"/>
  <c r="G23" s="1"/>
  <c r="J23" s="1"/>
  <c r="A24"/>
  <c r="D24" s="1"/>
  <c r="G24" s="1"/>
  <c r="J24" s="1"/>
  <c r="A25"/>
  <c r="D25" s="1"/>
  <c r="G25" s="1"/>
  <c r="J25" s="1"/>
  <c r="A26"/>
  <c r="D26" s="1"/>
  <c r="G26" s="1"/>
  <c r="J26" s="1"/>
  <c r="M26" s="1"/>
  <c r="A27"/>
  <c r="D27" s="1"/>
  <c r="G27" s="1"/>
  <c r="J27" s="1"/>
  <c r="M27" s="1"/>
  <c r="A28"/>
  <c r="D28" s="1"/>
  <c r="G28" s="1"/>
  <c r="J28" s="1"/>
  <c r="M28" s="1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Q6" i="5" l="1"/>
  <c r="E11" i="11"/>
  <c r="K6" i="5"/>
  <c r="Q6" i="11"/>
  <c r="K1"/>
  <c r="E6" i="5"/>
  <c r="E36"/>
  <c r="E21"/>
  <c r="T148" i="1"/>
  <c r="Y2" i="10"/>
  <c r="B25" i="6" s="1"/>
  <c r="F25" s="1"/>
  <c r="AF147" i="1"/>
  <c r="Y28" i="10"/>
  <c r="T151" i="1"/>
  <c r="AF134"/>
  <c r="T135"/>
  <c r="Y3" i="10"/>
  <c r="X2"/>
  <c r="B24" i="6" s="1"/>
  <c r="F24" s="1"/>
  <c r="T122" i="1"/>
  <c r="Y4" i="10"/>
  <c r="X3"/>
  <c r="AF121" i="1"/>
  <c r="AF108"/>
  <c r="V2" i="10"/>
  <c r="Y5"/>
  <c r="T109" i="1"/>
  <c r="X4" i="10"/>
  <c r="C148" i="1"/>
  <c r="V3" i="10"/>
  <c r="X5"/>
  <c r="Y6"/>
  <c r="O147" i="1"/>
  <c r="U2" i="10"/>
  <c r="T2"/>
  <c r="V4"/>
  <c r="Y7"/>
  <c r="O134" i="1"/>
  <c r="C135"/>
  <c r="X6" i="10"/>
  <c r="U3"/>
  <c r="O121" i="1"/>
  <c r="T3" i="10"/>
  <c r="V5"/>
  <c r="C122" i="1"/>
  <c r="Y8" i="10"/>
  <c r="U4"/>
  <c r="X7"/>
  <c r="S2"/>
  <c r="V6"/>
  <c r="Y9"/>
  <c r="S3"/>
  <c r="O108" i="1"/>
  <c r="C109"/>
  <c r="X8" i="10"/>
  <c r="U5"/>
  <c r="T4"/>
  <c r="R2"/>
  <c r="T95" i="1"/>
  <c r="X9" i="10"/>
  <c r="Y10"/>
  <c r="Q2"/>
  <c r="T5"/>
  <c r="V7"/>
  <c r="U6"/>
  <c r="R3"/>
  <c r="AF94" i="1"/>
  <c r="S4" i="10"/>
  <c r="S5"/>
  <c r="R4"/>
  <c r="T6"/>
  <c r="Q3"/>
  <c r="AF81" i="1"/>
  <c r="T82"/>
  <c r="X10" i="10"/>
  <c r="U7"/>
  <c r="P2"/>
  <c r="V8"/>
  <c r="Y11"/>
  <c r="X12"/>
  <c r="U9"/>
  <c r="T8"/>
  <c r="O3"/>
  <c r="V10"/>
  <c r="Q5"/>
  <c r="T56" i="1"/>
  <c r="Y13" i="10"/>
  <c r="P4"/>
  <c r="W11"/>
  <c r="R6"/>
  <c r="S7"/>
  <c r="N2"/>
  <c r="T69" i="1"/>
  <c r="W10" i="10"/>
  <c r="U8"/>
  <c r="T7"/>
  <c r="R5"/>
  <c r="S6"/>
  <c r="O2"/>
  <c r="X11"/>
  <c r="V9"/>
  <c r="Q4"/>
  <c r="AF68" i="1"/>
  <c r="Y12" i="10"/>
  <c r="P3"/>
  <c r="W14"/>
  <c r="U12"/>
  <c r="T11"/>
  <c r="R9"/>
  <c r="O6"/>
  <c r="Q8"/>
  <c r="Y16"/>
  <c r="P7"/>
  <c r="K2"/>
  <c r="X15"/>
  <c r="N5"/>
  <c r="M4"/>
  <c r="L3"/>
  <c r="V13"/>
  <c r="S10"/>
  <c r="W18"/>
  <c r="U16"/>
  <c r="T15"/>
  <c r="R13"/>
  <c r="O10"/>
  <c r="L7"/>
  <c r="V17"/>
  <c r="S14"/>
  <c r="J5"/>
  <c r="I4"/>
  <c r="X19"/>
  <c r="N9"/>
  <c r="M8"/>
  <c r="H3"/>
  <c r="Q12"/>
  <c r="Y20"/>
  <c r="P11"/>
  <c r="K6"/>
  <c r="G2"/>
  <c r="V12"/>
  <c r="S9"/>
  <c r="Q7"/>
  <c r="Y15"/>
  <c r="X14"/>
  <c r="N4"/>
  <c r="W13"/>
  <c r="U11"/>
  <c r="T10"/>
  <c r="R8"/>
  <c r="O5"/>
  <c r="L2"/>
  <c r="P6"/>
  <c r="M3"/>
  <c r="V16"/>
  <c r="S13"/>
  <c r="Q11"/>
  <c r="J4"/>
  <c r="P10"/>
  <c r="K5"/>
  <c r="M7"/>
  <c r="W17"/>
  <c r="U15"/>
  <c r="T14"/>
  <c r="R12"/>
  <c r="O9"/>
  <c r="L6"/>
  <c r="H2"/>
  <c r="I3"/>
  <c r="Y19"/>
  <c r="X18"/>
  <c r="N8"/>
  <c r="X16"/>
  <c r="M5"/>
  <c r="W15"/>
  <c r="R10"/>
  <c r="L4"/>
  <c r="S11"/>
  <c r="Y17"/>
  <c r="P8"/>
  <c r="K3"/>
  <c r="N6"/>
  <c r="U13"/>
  <c r="T12"/>
  <c r="O7"/>
  <c r="J2"/>
  <c r="V14"/>
  <c r="Q9"/>
  <c r="Y14"/>
  <c r="P5"/>
  <c r="W12"/>
  <c r="T9"/>
  <c r="V11"/>
  <c r="S8"/>
  <c r="Q6"/>
  <c r="M2"/>
  <c r="X13"/>
  <c r="N3"/>
  <c r="U10"/>
  <c r="R7"/>
  <c r="O4"/>
  <c r="Y18"/>
  <c r="P9"/>
  <c r="X17"/>
  <c r="N7"/>
  <c r="R11"/>
  <c r="O8"/>
  <c r="V15"/>
  <c r="S12"/>
  <c r="Q10"/>
  <c r="J3"/>
  <c r="K4"/>
  <c r="I2"/>
  <c r="M6"/>
  <c r="W16"/>
  <c r="U14"/>
  <c r="T13"/>
  <c r="L5"/>
  <c r="K21" i="11"/>
  <c r="Q36" i="5"/>
  <c r="Q36" i="11"/>
  <c r="Q26" i="5"/>
  <c r="Q26" i="11"/>
  <c r="K16" i="5"/>
  <c r="K16" i="11"/>
  <c r="K11" i="5"/>
  <c r="K11" i="11"/>
  <c r="Q16" i="5"/>
  <c r="Q16" i="11"/>
  <c r="M24" i="3"/>
  <c r="X28" i="10"/>
  <c r="Y29"/>
  <c r="Y33"/>
  <c r="U29"/>
  <c r="V30"/>
  <c r="T28"/>
  <c r="W31"/>
  <c r="X32"/>
  <c r="Y45"/>
  <c r="U41"/>
  <c r="Q37"/>
  <c r="M33"/>
  <c r="I29"/>
  <c r="V42"/>
  <c r="R38"/>
  <c r="N34"/>
  <c r="J30"/>
  <c r="S39"/>
  <c r="K31"/>
  <c r="O35"/>
  <c r="X44"/>
  <c r="T40"/>
  <c r="L32"/>
  <c r="P36"/>
  <c r="H28"/>
  <c r="M25" i="3"/>
  <c r="W8" i="10"/>
  <c r="X31"/>
  <c r="Y32"/>
  <c r="U28"/>
  <c r="V29"/>
  <c r="W30"/>
  <c r="X39"/>
  <c r="T35"/>
  <c r="P31"/>
  <c r="Y40"/>
  <c r="U36"/>
  <c r="Q32"/>
  <c r="M28"/>
  <c r="R33"/>
  <c r="N29"/>
  <c r="S34"/>
  <c r="V37"/>
  <c r="W38"/>
  <c r="O30"/>
  <c r="T39"/>
  <c r="P35"/>
  <c r="L31"/>
  <c r="U40"/>
  <c r="Q36"/>
  <c r="M32"/>
  <c r="I28"/>
  <c r="R37"/>
  <c r="J29"/>
  <c r="V41"/>
  <c r="S38"/>
  <c r="K30"/>
  <c r="N33"/>
  <c r="W42"/>
  <c r="O34"/>
  <c r="M22" i="3"/>
  <c r="W3" i="10"/>
  <c r="M18" i="3"/>
  <c r="W7" i="10"/>
  <c r="X30"/>
  <c r="Y31"/>
  <c r="V28"/>
  <c r="W29"/>
  <c r="V32"/>
  <c r="R28"/>
  <c r="W33"/>
  <c r="S29"/>
  <c r="X34"/>
  <c r="Y35"/>
  <c r="T30"/>
  <c r="U31"/>
  <c r="X38"/>
  <c r="T34"/>
  <c r="P30"/>
  <c r="Y39"/>
  <c r="U35"/>
  <c r="Q31"/>
  <c r="V36"/>
  <c r="N28"/>
  <c r="R32"/>
  <c r="W37"/>
  <c r="O29"/>
  <c r="S33"/>
  <c r="V40"/>
  <c r="R36"/>
  <c r="N32"/>
  <c r="J28"/>
  <c r="W41"/>
  <c r="S37"/>
  <c r="O33"/>
  <c r="K29"/>
  <c r="T38"/>
  <c r="L30"/>
  <c r="P34"/>
  <c r="U39"/>
  <c r="M31"/>
  <c r="X42"/>
  <c r="Y43"/>
  <c r="Q35"/>
  <c r="M20" i="3"/>
  <c r="W5" i="10"/>
  <c r="W9"/>
  <c r="W35"/>
  <c r="S31"/>
  <c r="X36"/>
  <c r="T32"/>
  <c r="P28"/>
  <c r="Y37"/>
  <c r="Q29"/>
  <c r="R30"/>
  <c r="U33"/>
  <c r="V34"/>
  <c r="Y41"/>
  <c r="U37"/>
  <c r="Q33"/>
  <c r="M29"/>
  <c r="V38"/>
  <c r="R34"/>
  <c r="N30"/>
  <c r="W39"/>
  <c r="O31"/>
  <c r="S35"/>
  <c r="X40"/>
  <c r="P32"/>
  <c r="T36"/>
  <c r="L28"/>
  <c r="M21" i="3"/>
  <c r="W4" i="10"/>
  <c r="V33"/>
  <c r="R29"/>
  <c r="W34"/>
  <c r="S30"/>
  <c r="X35"/>
  <c r="T31"/>
  <c r="Y36"/>
  <c r="Q28"/>
  <c r="U32"/>
  <c r="M23" i="3"/>
  <c r="W2" i="10"/>
  <c r="M19" i="3"/>
  <c r="W6" i="10"/>
  <c r="Y30"/>
  <c r="W28"/>
  <c r="X29"/>
  <c r="W32"/>
  <c r="S28"/>
  <c r="X33"/>
  <c r="T29"/>
  <c r="Y34"/>
  <c r="U30"/>
  <c r="V31"/>
  <c r="Y38"/>
  <c r="U34"/>
  <c r="Q30"/>
  <c r="V35"/>
  <c r="R31"/>
  <c r="S32"/>
  <c r="W36"/>
  <c r="O28"/>
  <c r="T33"/>
  <c r="X37"/>
  <c r="P29"/>
  <c r="W40"/>
  <c r="S36"/>
  <c r="O32"/>
  <c r="K28"/>
  <c r="X41"/>
  <c r="T37"/>
  <c r="P33"/>
  <c r="L29"/>
  <c r="U38"/>
  <c r="M30"/>
  <c r="Q34"/>
  <c r="V39"/>
  <c r="N31"/>
  <c r="Y42"/>
  <c r="R35"/>
  <c r="W44"/>
  <c r="S40"/>
  <c r="O36"/>
  <c r="K32"/>
  <c r="G28"/>
  <c r="X45"/>
  <c r="T41"/>
  <c r="P37"/>
  <c r="L33"/>
  <c r="H29"/>
  <c r="U42"/>
  <c r="M34"/>
  <c r="Q38"/>
  <c r="I30"/>
  <c r="V43"/>
  <c r="N35"/>
  <c r="Y46"/>
  <c r="R39"/>
  <c r="J31"/>
  <c r="C85" i="1"/>
  <c r="C72"/>
  <c r="C59"/>
  <c r="T44"/>
  <c r="M12" i="3"/>
  <c r="O81" i="1"/>
  <c r="C82"/>
  <c r="M8" i="3"/>
  <c r="AF27" i="1"/>
  <c r="T28"/>
  <c r="T31"/>
  <c r="M17" i="3"/>
  <c r="M13"/>
  <c r="O94" i="1"/>
  <c r="C95"/>
  <c r="M9" i="3"/>
  <c r="T41" i="1"/>
  <c r="AF40"/>
  <c r="C98"/>
  <c r="M16" i="3"/>
  <c r="M14"/>
  <c r="AF55" i="1"/>
  <c r="M10" i="3"/>
  <c r="O55" i="1"/>
  <c r="C56"/>
  <c r="T59"/>
  <c r="M15" i="3"/>
  <c r="M11"/>
  <c r="C69" i="1"/>
  <c r="O68"/>
  <c r="T15"/>
  <c r="AF14"/>
  <c r="T18"/>
  <c r="M7" i="3"/>
  <c r="C13" i="6" l="1"/>
  <c r="G13" s="1"/>
  <c r="N18" i="5" s="1"/>
  <c r="C24" i="6"/>
  <c r="G24" s="1"/>
  <c r="H38" i="11" s="1"/>
  <c r="H36" s="1"/>
  <c r="B20" i="6"/>
  <c r="F20" s="1"/>
  <c r="B32" i="11" s="1"/>
  <c r="C21" i="6"/>
  <c r="G21" s="1"/>
  <c r="H33" i="5" s="1"/>
  <c r="B22" i="6"/>
  <c r="F22" s="1"/>
  <c r="N32" i="11" s="1"/>
  <c r="B13" i="6"/>
  <c r="F13" s="1"/>
  <c r="N17" i="5" s="1"/>
  <c r="N16" s="1"/>
  <c r="C19" i="6"/>
  <c r="G19" s="1"/>
  <c r="N28" i="5" s="1"/>
  <c r="C25" i="6"/>
  <c r="G25" s="1"/>
  <c r="N38" i="5" s="1"/>
  <c r="C23" i="6"/>
  <c r="G23" s="1"/>
  <c r="B38" i="5" s="1"/>
  <c r="B36" s="1"/>
  <c r="B23" i="6"/>
  <c r="F23" s="1"/>
  <c r="B37" i="11" s="1"/>
  <c r="C22" i="6"/>
  <c r="G22" s="1"/>
  <c r="N33" i="5" s="1"/>
  <c r="B21" i="6"/>
  <c r="F21" s="1"/>
  <c r="H32" i="5" s="1"/>
  <c r="H31" s="1"/>
  <c r="C20" i="6"/>
  <c r="G20" s="1"/>
  <c r="B33" i="5" s="1"/>
  <c r="B19" i="6"/>
  <c r="F19" s="1"/>
  <c r="N27" i="11" s="1"/>
  <c r="H37" i="5"/>
  <c r="I39" s="1"/>
  <c r="H37" i="11"/>
  <c r="N37" i="5"/>
  <c r="Q39" s="1"/>
  <c r="N37" i="11"/>
  <c r="B3" i="3"/>
  <c r="E3" s="1"/>
  <c r="H3" s="1"/>
  <c r="B4"/>
  <c r="E4" s="1"/>
  <c r="H4" s="1"/>
  <c r="K4" s="1"/>
  <c r="N4" s="1"/>
  <c r="P4" s="1"/>
  <c r="Q4" s="1"/>
  <c r="R4" s="1"/>
  <c r="S4" s="1"/>
  <c r="T4" s="1"/>
  <c r="U4" s="1"/>
  <c r="V4" s="1"/>
  <c r="B5"/>
  <c r="E5" s="1"/>
  <c r="H5" s="1"/>
  <c r="K5" s="1"/>
  <c r="N5" s="1"/>
  <c r="P5" s="1"/>
  <c r="Q5" s="1"/>
  <c r="R5" s="1"/>
  <c r="S5" s="1"/>
  <c r="T5" s="1"/>
  <c r="U5" s="1"/>
  <c r="V5" s="1"/>
  <c r="B6"/>
  <c r="E6" s="1"/>
  <c r="H6" s="1"/>
  <c r="K6" s="1"/>
  <c r="N6" s="1"/>
  <c r="P6" s="1"/>
  <c r="Q6" s="1"/>
  <c r="R6" s="1"/>
  <c r="S6" s="1"/>
  <c r="T6" s="1"/>
  <c r="U6" s="1"/>
  <c r="V6" s="1"/>
  <c r="A3"/>
  <c r="D3" s="1"/>
  <c r="G3" s="1"/>
  <c r="J3" s="1"/>
  <c r="A4"/>
  <c r="D4" s="1"/>
  <c r="G4" s="1"/>
  <c r="J4" s="1"/>
  <c r="A5"/>
  <c r="D5" s="1"/>
  <c r="G5" s="1"/>
  <c r="J5" s="1"/>
  <c r="A6"/>
  <c r="D6" s="1"/>
  <c r="G6" s="1"/>
  <c r="J6" s="1"/>
  <c r="A2"/>
  <c r="D2" s="1"/>
  <c r="G2" s="1"/>
  <c r="J2" s="1"/>
  <c r="B2"/>
  <c r="E2" s="1"/>
  <c r="H2" s="1"/>
  <c r="E31"/>
  <c r="H31" s="1"/>
  <c r="E32"/>
  <c r="H32" s="1"/>
  <c r="E35"/>
  <c r="H35" s="1"/>
  <c r="E36"/>
  <c r="H36" s="1"/>
  <c r="E37"/>
  <c r="H37" s="1"/>
  <c r="E38"/>
  <c r="H38" s="1"/>
  <c r="E39"/>
  <c r="H39" s="1"/>
  <c r="E41"/>
  <c r="H41" s="1"/>
  <c r="E43"/>
  <c r="H43" s="1"/>
  <c r="E44"/>
  <c r="H44" s="1"/>
  <c r="E47"/>
  <c r="H47" s="1"/>
  <c r="E48"/>
  <c r="H48" s="1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578"/>
  <c r="B579"/>
  <c r="B580"/>
  <c r="B581"/>
  <c r="B582"/>
  <c r="B583"/>
  <c r="B584"/>
  <c r="B585"/>
  <c r="B586"/>
  <c r="B587"/>
  <c r="B588"/>
  <c r="B589"/>
  <c r="B590"/>
  <c r="B591"/>
  <c r="B592"/>
  <c r="B593"/>
  <c r="B594"/>
  <c r="B595"/>
  <c r="B596"/>
  <c r="B597"/>
  <c r="B598"/>
  <c r="B599"/>
  <c r="B600"/>
  <c r="B601"/>
  <c r="B602"/>
  <c r="B603"/>
  <c r="B604"/>
  <c r="B605"/>
  <c r="B606"/>
  <c r="B607"/>
  <c r="B608"/>
  <c r="B609"/>
  <c r="B610"/>
  <c r="B611"/>
  <c r="B612"/>
  <c r="B613"/>
  <c r="B614"/>
  <c r="B615"/>
  <c r="B616"/>
  <c r="B617"/>
  <c r="B618"/>
  <c r="B619"/>
  <c r="B620"/>
  <c r="B621"/>
  <c r="B622"/>
  <c r="B623"/>
  <c r="B624"/>
  <c r="B625"/>
  <c r="B626"/>
  <c r="B627"/>
  <c r="B628"/>
  <c r="B629"/>
  <c r="B630"/>
  <c r="B631"/>
  <c r="B632"/>
  <c r="B633"/>
  <c r="B634"/>
  <c r="B635"/>
  <c r="B636"/>
  <c r="B637"/>
  <c r="B638"/>
  <c r="B639"/>
  <c r="B640"/>
  <c r="B641"/>
  <c r="B642"/>
  <c r="B643"/>
  <c r="B644"/>
  <c r="B645"/>
  <c r="B646"/>
  <c r="B647"/>
  <c r="B648"/>
  <c r="B649"/>
  <c r="D29"/>
  <c r="G29" s="1"/>
  <c r="D30"/>
  <c r="G30" s="1"/>
  <c r="D31"/>
  <c r="G31" s="1"/>
  <c r="D34"/>
  <c r="G34" s="1"/>
  <c r="D35"/>
  <c r="G35" s="1"/>
  <c r="D36"/>
  <c r="G36" s="1"/>
  <c r="D37"/>
  <c r="G37" s="1"/>
  <c r="D38"/>
  <c r="G38" s="1"/>
  <c r="D39"/>
  <c r="G39" s="1"/>
  <c r="D42"/>
  <c r="G42" s="1"/>
  <c r="D44"/>
  <c r="G44" s="1"/>
  <c r="D45"/>
  <c r="G45" s="1"/>
  <c r="D46"/>
  <c r="G46" s="1"/>
  <c r="A50"/>
  <c r="D50" s="1"/>
  <c r="G50" s="1"/>
  <c r="A51"/>
  <c r="D51" s="1"/>
  <c r="G51" s="1"/>
  <c r="A52"/>
  <c r="D52" s="1"/>
  <c r="G52" s="1"/>
  <c r="A53"/>
  <c r="D53" s="1"/>
  <c r="G53" s="1"/>
  <c r="A54"/>
  <c r="D54" s="1"/>
  <c r="G54" s="1"/>
  <c r="A55"/>
  <c r="D55" s="1"/>
  <c r="G55" s="1"/>
  <c r="A56"/>
  <c r="D56" s="1"/>
  <c r="G56" s="1"/>
  <c r="A57"/>
  <c r="D57" s="1"/>
  <c r="G57" s="1"/>
  <c r="A58"/>
  <c r="D58" s="1"/>
  <c r="G58" s="1"/>
  <c r="A59"/>
  <c r="D59" s="1"/>
  <c r="G59" s="1"/>
  <c r="A60"/>
  <c r="D60" s="1"/>
  <c r="G60" s="1"/>
  <c r="A61"/>
  <c r="D61" s="1"/>
  <c r="G61" s="1"/>
  <c r="A62"/>
  <c r="D62" s="1"/>
  <c r="G62" s="1"/>
  <c r="A63"/>
  <c r="D63" s="1"/>
  <c r="G63" s="1"/>
  <c r="A64"/>
  <c r="D64" s="1"/>
  <c r="G64" s="1"/>
  <c r="A65"/>
  <c r="D65" s="1"/>
  <c r="G65" s="1"/>
  <c r="A66"/>
  <c r="D66" s="1"/>
  <c r="G66" s="1"/>
  <c r="A67"/>
  <c r="D67" s="1"/>
  <c r="A68"/>
  <c r="D68" s="1"/>
  <c r="A69"/>
  <c r="D69" s="1"/>
  <c r="A70"/>
  <c r="D70" s="1"/>
  <c r="A71"/>
  <c r="D71" s="1"/>
  <c r="A72"/>
  <c r="D72" s="1"/>
  <c r="A73"/>
  <c r="D73" s="1"/>
  <c r="A74"/>
  <c r="D74" s="1"/>
  <c r="A75"/>
  <c r="D75" s="1"/>
  <c r="A76"/>
  <c r="D76" s="1"/>
  <c r="A77"/>
  <c r="D77" s="1"/>
  <c r="A78"/>
  <c r="D78" s="1"/>
  <c r="A79"/>
  <c r="D79" s="1"/>
  <c r="A80"/>
  <c r="D80" s="1"/>
  <c r="A81"/>
  <c r="D81" s="1"/>
  <c r="A82"/>
  <c r="D82" s="1"/>
  <c r="A83"/>
  <c r="D83" s="1"/>
  <c r="A84"/>
  <c r="D84" s="1"/>
  <c r="A85"/>
  <c r="D85" s="1"/>
  <c r="A86"/>
  <c r="D86" s="1"/>
  <c r="A87"/>
  <c r="D87" s="1"/>
  <c r="A88"/>
  <c r="D88" s="1"/>
  <c r="A89"/>
  <c r="D89" s="1"/>
  <c r="A90"/>
  <c r="A91"/>
  <c r="D91" s="1"/>
  <c r="A92"/>
  <c r="D92" s="1"/>
  <c r="A93"/>
  <c r="D93" s="1"/>
  <c r="A94"/>
  <c r="D94" s="1"/>
  <c r="A95"/>
  <c r="D95" s="1"/>
  <c r="A96"/>
  <c r="D96" s="1"/>
  <c r="A97"/>
  <c r="D97" s="1"/>
  <c r="A98"/>
  <c r="D98" s="1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D90"/>
  <c r="H57"/>
  <c r="H56"/>
  <c r="H55"/>
  <c r="H54"/>
  <c r="H53"/>
  <c r="H52"/>
  <c r="H51"/>
  <c r="H50"/>
  <c r="H49"/>
  <c r="D49"/>
  <c r="G49" s="1"/>
  <c r="D48"/>
  <c r="G48" s="1"/>
  <c r="D47"/>
  <c r="G47" s="1"/>
  <c r="E46"/>
  <c r="H46" s="1"/>
  <c r="E45"/>
  <c r="H45" s="1"/>
  <c r="D43"/>
  <c r="G43" s="1"/>
  <c r="E42"/>
  <c r="H42" s="1"/>
  <c r="D41"/>
  <c r="G41" s="1"/>
  <c r="E40"/>
  <c r="H40" s="1"/>
  <c r="D40"/>
  <c r="G40" s="1"/>
  <c r="E34"/>
  <c r="H34" s="1"/>
  <c r="D33"/>
  <c r="G33" s="1"/>
  <c r="E33"/>
  <c r="H33" s="1"/>
  <c r="D32"/>
  <c r="G32" s="1"/>
  <c r="E30"/>
  <c r="H30" s="1"/>
  <c r="E29"/>
  <c r="H29" s="1"/>
  <c r="N18" i="11" l="1"/>
  <c r="H33"/>
  <c r="B32" i="5"/>
  <c r="B31" s="1"/>
  <c r="H38"/>
  <c r="H36" s="1"/>
  <c r="N32"/>
  <c r="N31" s="1"/>
  <c r="N17" i="11"/>
  <c r="N19" s="1"/>
  <c r="Y22" i="10"/>
  <c r="K8"/>
  <c r="B11" i="6" s="1"/>
  <c r="F11" s="1"/>
  <c r="M10" i="10"/>
  <c r="U18"/>
  <c r="T17"/>
  <c r="L9"/>
  <c r="H5"/>
  <c r="V19"/>
  <c r="S16"/>
  <c r="J7"/>
  <c r="I6"/>
  <c r="X21"/>
  <c r="R15"/>
  <c r="N11"/>
  <c r="W20"/>
  <c r="X20"/>
  <c r="N10"/>
  <c r="M9"/>
  <c r="T16"/>
  <c r="Y21"/>
  <c r="K7"/>
  <c r="W19"/>
  <c r="U17"/>
  <c r="L8"/>
  <c r="B12" i="6" s="1"/>
  <c r="F12" s="1"/>
  <c r="V18" i="10"/>
  <c r="S15"/>
  <c r="J6"/>
  <c r="I5"/>
  <c r="V20"/>
  <c r="S17"/>
  <c r="Y23"/>
  <c r="Q15"/>
  <c r="N12"/>
  <c r="W21"/>
  <c r="U19"/>
  <c r="T18"/>
  <c r="L10"/>
  <c r="J8"/>
  <c r="I7"/>
  <c r="K9"/>
  <c r="H6"/>
  <c r="B8" i="6" s="1"/>
  <c r="F8" s="1"/>
  <c r="X22" i="10"/>
  <c r="R16"/>
  <c r="M11"/>
  <c r="N28" i="11"/>
  <c r="W23" i="10"/>
  <c r="R18"/>
  <c r="Q17"/>
  <c r="N14"/>
  <c r="M13"/>
  <c r="U21"/>
  <c r="L12"/>
  <c r="Y25"/>
  <c r="S19"/>
  <c r="J10"/>
  <c r="I9"/>
  <c r="V22"/>
  <c r="K11"/>
  <c r="H8"/>
  <c r="X24"/>
  <c r="T20"/>
  <c r="W22"/>
  <c r="U20"/>
  <c r="T19"/>
  <c r="H7"/>
  <c r="V21"/>
  <c r="K10"/>
  <c r="X23"/>
  <c r="Y24"/>
  <c r="R17"/>
  <c r="Q16"/>
  <c r="N13"/>
  <c r="M12"/>
  <c r="L11"/>
  <c r="S18"/>
  <c r="J9"/>
  <c r="I8"/>
  <c r="N38" i="11"/>
  <c r="B38"/>
  <c r="B36" s="1"/>
  <c r="B33"/>
  <c r="B37" i="5"/>
  <c r="B39" s="1"/>
  <c r="N33" i="11"/>
  <c r="H32"/>
  <c r="H31" s="1"/>
  <c r="N27" i="5"/>
  <c r="N26" s="1"/>
  <c r="E4" i="10"/>
  <c r="C2"/>
  <c r="B3" i="6" s="1"/>
  <c r="F3" s="1"/>
  <c r="P15" i="10"/>
  <c r="F5"/>
  <c r="G6"/>
  <c r="D3"/>
  <c r="O14"/>
  <c r="B15" i="6" s="1"/>
  <c r="F15" s="1"/>
  <c r="O13" i="10"/>
  <c r="D2"/>
  <c r="B4" i="6" s="1"/>
  <c r="F4" s="1"/>
  <c r="E3" i="10"/>
  <c r="P14"/>
  <c r="B16" i="6" s="1"/>
  <c r="F16" s="1"/>
  <c r="F4" i="10"/>
  <c r="G5"/>
  <c r="P13"/>
  <c r="F3"/>
  <c r="G4"/>
  <c r="O12"/>
  <c r="Q14"/>
  <c r="B17" i="6" s="1"/>
  <c r="F17" s="1"/>
  <c r="E2" i="10"/>
  <c r="B5" i="6" s="1"/>
  <c r="F5" s="1"/>
  <c r="G7" i="10"/>
  <c r="D4"/>
  <c r="B14" i="6"/>
  <c r="F14" s="1"/>
  <c r="P16" i="10"/>
  <c r="F6"/>
  <c r="B2"/>
  <c r="B2" i="6" s="1"/>
  <c r="F2" s="1"/>
  <c r="E5" i="10"/>
  <c r="O15"/>
  <c r="C3"/>
  <c r="Q13"/>
  <c r="G3"/>
  <c r="R14"/>
  <c r="B18" i="6" s="1"/>
  <c r="F18" s="1"/>
  <c r="F2" i="10"/>
  <c r="O11"/>
  <c r="P12"/>
  <c r="H4"/>
  <c r="N39" i="5"/>
  <c r="N19"/>
  <c r="O39"/>
  <c r="K39"/>
  <c r="H34"/>
  <c r="H39"/>
  <c r="N36" s="1"/>
  <c r="O34" i="11"/>
  <c r="N31"/>
  <c r="N34"/>
  <c r="Q34"/>
  <c r="I34" i="5"/>
  <c r="Q19"/>
  <c r="K34"/>
  <c r="E39" i="11"/>
  <c r="C39"/>
  <c r="B39"/>
  <c r="Q39"/>
  <c r="N39"/>
  <c r="O39"/>
  <c r="H39"/>
  <c r="N36" s="1"/>
  <c r="K39"/>
  <c r="I39"/>
  <c r="C34"/>
  <c r="B34"/>
  <c r="B31"/>
  <c r="E34"/>
  <c r="Q29"/>
  <c r="N26"/>
  <c r="N29"/>
  <c r="O29" s="1"/>
  <c r="O19" i="5"/>
  <c r="W47" i="10"/>
  <c r="S43"/>
  <c r="O39"/>
  <c r="K35"/>
  <c r="G31"/>
  <c r="X48"/>
  <c r="T44"/>
  <c r="P40"/>
  <c r="C16" i="6" s="1"/>
  <c r="G16" s="1"/>
  <c r="L36" i="10"/>
  <c r="H32"/>
  <c r="D28"/>
  <c r="Y49"/>
  <c r="Q41"/>
  <c r="I33"/>
  <c r="U45"/>
  <c r="E29"/>
  <c r="R42"/>
  <c r="J34"/>
  <c r="M37"/>
  <c r="V46"/>
  <c r="N38"/>
  <c r="F30"/>
  <c r="V45"/>
  <c r="R41"/>
  <c r="N37"/>
  <c r="J33"/>
  <c r="F29"/>
  <c r="W46"/>
  <c r="S42"/>
  <c r="O38"/>
  <c r="K34"/>
  <c r="C11" i="6" s="1"/>
  <c r="G11" s="1"/>
  <c r="B18" i="11" s="1"/>
  <c r="G30" i="10"/>
  <c r="T43"/>
  <c r="L35"/>
  <c r="X47"/>
  <c r="H31"/>
  <c r="U44"/>
  <c r="M36"/>
  <c r="E28"/>
  <c r="P39"/>
  <c r="Y48"/>
  <c r="Q40"/>
  <c r="C17" i="6" s="1"/>
  <c r="G17" s="1"/>
  <c r="I32" i="10"/>
  <c r="V44"/>
  <c r="R40"/>
  <c r="C18" i="6" s="1"/>
  <c r="G18" s="1"/>
  <c r="N36" i="10"/>
  <c r="J32"/>
  <c r="C10" i="6" s="1"/>
  <c r="G10" s="1"/>
  <c r="N13" i="11" s="1"/>
  <c r="F28" i="10"/>
  <c r="W45"/>
  <c r="S41"/>
  <c r="O37"/>
  <c r="K33"/>
  <c r="G29"/>
  <c r="X46"/>
  <c r="P38"/>
  <c r="H30"/>
  <c r="L34"/>
  <c r="C12" i="6" s="1"/>
  <c r="G12" s="1"/>
  <c r="H18" i="11" s="1"/>
  <c r="Y47" i="10"/>
  <c r="Q39"/>
  <c r="I31"/>
  <c r="T42"/>
  <c r="U43"/>
  <c r="M35"/>
  <c r="O40" i="1"/>
  <c r="C41"/>
  <c r="T2"/>
  <c r="AF1"/>
  <c r="T5"/>
  <c r="O27"/>
  <c r="O14"/>
  <c r="C44"/>
  <c r="C31"/>
  <c r="C28"/>
  <c r="C15"/>
  <c r="M2" i="3"/>
  <c r="C2" i="1"/>
  <c r="M6" i="3"/>
  <c r="M5"/>
  <c r="M4"/>
  <c r="M3"/>
  <c r="O1" i="1"/>
  <c r="K3" i="3"/>
  <c r="N3" s="1"/>
  <c r="P3" s="1"/>
  <c r="Q3" s="1"/>
  <c r="R3" s="1"/>
  <c r="S3" s="1"/>
  <c r="T3" s="1"/>
  <c r="U3" s="1"/>
  <c r="V3" s="1"/>
  <c r="K2"/>
  <c r="N2" s="1"/>
  <c r="P2" s="1"/>
  <c r="Q2" s="1"/>
  <c r="R2" s="1"/>
  <c r="S2" s="1"/>
  <c r="T2" s="1"/>
  <c r="U2" s="1"/>
  <c r="V2" s="1"/>
  <c r="B28" i="10" s="1"/>
  <c r="C2" i="6" s="1"/>
  <c r="G2" s="1"/>
  <c r="B3" i="11" s="1"/>
  <c r="Q34" i="5" l="1"/>
  <c r="N34"/>
  <c r="C34"/>
  <c r="E34"/>
  <c r="B34"/>
  <c r="O34"/>
  <c r="B17" i="11"/>
  <c r="B17" i="5"/>
  <c r="H17" i="11"/>
  <c r="H17" i="5"/>
  <c r="B18"/>
  <c r="B10" i="6"/>
  <c r="F10" s="1"/>
  <c r="N12" i="11" s="1"/>
  <c r="Q14" s="1"/>
  <c r="B9" i="6"/>
  <c r="F9" s="1"/>
  <c r="H12" i="11" s="1"/>
  <c r="H18" i="5"/>
  <c r="O19" i="11"/>
  <c r="Q19"/>
  <c r="N16"/>
  <c r="B2"/>
  <c r="B1" s="1"/>
  <c r="B2" i="5"/>
  <c r="B1" s="1"/>
  <c r="H34" i="11"/>
  <c r="N13" i="5"/>
  <c r="C39"/>
  <c r="E39"/>
  <c r="K34" i="11"/>
  <c r="I34"/>
  <c r="Q29" i="5"/>
  <c r="N29"/>
  <c r="O29" s="1"/>
  <c r="B28" i="11"/>
  <c r="B28" i="5"/>
  <c r="N23" i="11"/>
  <c r="N23" i="5"/>
  <c r="B22" i="11"/>
  <c r="B22" i="5"/>
  <c r="B27" i="11"/>
  <c r="B27" i="5"/>
  <c r="H28" i="11"/>
  <c r="H28" i="5"/>
  <c r="H27" i="11"/>
  <c r="H27" i="5"/>
  <c r="N22" i="11"/>
  <c r="N22" i="5"/>
  <c r="H22" i="11"/>
  <c r="H22" i="5"/>
  <c r="B12" i="11"/>
  <c r="B12" i="5"/>
  <c r="B7" i="6"/>
  <c r="F7" s="1"/>
  <c r="N7" i="11" s="1"/>
  <c r="B6" i="6"/>
  <c r="F6" s="1"/>
  <c r="H7" i="11" s="1"/>
  <c r="C5" i="6"/>
  <c r="G5" s="1"/>
  <c r="B8" i="5" s="1"/>
  <c r="N2"/>
  <c r="N1" s="1"/>
  <c r="N2" i="11"/>
  <c r="H2" i="5"/>
  <c r="H1" s="1"/>
  <c r="H2" i="11"/>
  <c r="H1" s="1"/>
  <c r="B7" i="5"/>
  <c r="B6" s="1"/>
  <c r="B7" i="11"/>
  <c r="Y50" i="10"/>
  <c r="U46"/>
  <c r="Q42"/>
  <c r="M38"/>
  <c r="I34"/>
  <c r="C9" i="6" s="1"/>
  <c r="G9" s="1"/>
  <c r="E30" i="10"/>
  <c r="V47"/>
  <c r="R43"/>
  <c r="N39"/>
  <c r="J35"/>
  <c r="F31"/>
  <c r="W48"/>
  <c r="O40"/>
  <c r="C15" i="6" s="1"/>
  <c r="G15" s="1"/>
  <c r="G32" i="10"/>
  <c r="C7" i="6" s="1"/>
  <c r="G7" s="1"/>
  <c r="S44" i="10"/>
  <c r="C28"/>
  <c r="L37"/>
  <c r="X49"/>
  <c r="P41"/>
  <c r="H33"/>
  <c r="K36"/>
  <c r="T45"/>
  <c r="D29"/>
  <c r="C4" i="6" s="1"/>
  <c r="G4" s="1"/>
  <c r="X50" i="10"/>
  <c r="T46"/>
  <c r="P42"/>
  <c r="L38"/>
  <c r="H34"/>
  <c r="C8" i="6" s="1"/>
  <c r="G8" s="1"/>
  <c r="B13" i="11" s="1"/>
  <c r="D30" i="10"/>
  <c r="Y51"/>
  <c r="U47"/>
  <c r="Q43"/>
  <c r="M39"/>
  <c r="I35"/>
  <c r="E31"/>
  <c r="B3" i="5"/>
  <c r="V48" i="10"/>
  <c r="R44"/>
  <c r="N40"/>
  <c r="C14" i="6" s="1"/>
  <c r="G14" s="1"/>
  <c r="J36" i="10"/>
  <c r="F32"/>
  <c r="C6" i="6" s="1"/>
  <c r="G6" s="1"/>
  <c r="H8" i="11" s="1"/>
  <c r="W49" i="10"/>
  <c r="S45"/>
  <c r="O41"/>
  <c r="K37"/>
  <c r="G33"/>
  <c r="C29"/>
  <c r="C18" i="1"/>
  <c r="C5"/>
  <c r="O14" i="11" l="1"/>
  <c r="C3" i="6"/>
  <c r="G3" s="1"/>
  <c r="H3" i="11" s="1"/>
  <c r="N14"/>
  <c r="N12" i="5"/>
  <c r="Q14" s="1"/>
  <c r="N11" i="11"/>
  <c r="H13"/>
  <c r="H13" i="5"/>
  <c r="K19"/>
  <c r="I19"/>
  <c r="H16"/>
  <c r="B16"/>
  <c r="H19"/>
  <c r="C19" i="11"/>
  <c r="E19"/>
  <c r="B19"/>
  <c r="C19" i="5"/>
  <c r="E19"/>
  <c r="B19"/>
  <c r="H12"/>
  <c r="H11" s="1"/>
  <c r="H19" i="11"/>
  <c r="B16"/>
  <c r="H16"/>
  <c r="I19"/>
  <c r="K19"/>
  <c r="B4"/>
  <c r="C4"/>
  <c r="E4"/>
  <c r="C4" i="5"/>
  <c r="E4"/>
  <c r="B4"/>
  <c r="B13"/>
  <c r="N11"/>
  <c r="N8" i="11"/>
  <c r="N8" i="5"/>
  <c r="H14" i="11"/>
  <c r="K14"/>
  <c r="H11"/>
  <c r="I14"/>
  <c r="O24"/>
  <c r="Q24"/>
  <c r="N21"/>
  <c r="N24"/>
  <c r="E24" i="5"/>
  <c r="B24"/>
  <c r="B21"/>
  <c r="C24"/>
  <c r="H24" i="11"/>
  <c r="H21"/>
  <c r="I24"/>
  <c r="K24"/>
  <c r="I29"/>
  <c r="H29"/>
  <c r="H26"/>
  <c r="K29"/>
  <c r="B29"/>
  <c r="B26"/>
  <c r="E29"/>
  <c r="C29"/>
  <c r="E24"/>
  <c r="C24"/>
  <c r="B21"/>
  <c r="B24"/>
  <c r="B23"/>
  <c r="B23" i="5"/>
  <c r="N21"/>
  <c r="N24"/>
  <c r="O24"/>
  <c r="Q24"/>
  <c r="H23" i="11"/>
  <c r="H23" i="5"/>
  <c r="I24"/>
  <c r="H21"/>
  <c r="K24"/>
  <c r="H24"/>
  <c r="H26"/>
  <c r="K29"/>
  <c r="I29"/>
  <c r="H29"/>
  <c r="B26"/>
  <c r="B29"/>
  <c r="C29"/>
  <c r="E29"/>
  <c r="B9"/>
  <c r="H7"/>
  <c r="H6" s="1"/>
  <c r="C14" i="11"/>
  <c r="E14"/>
  <c r="B11"/>
  <c r="B14"/>
  <c r="B11" i="5"/>
  <c r="C14"/>
  <c r="B14"/>
  <c r="E14"/>
  <c r="N7"/>
  <c r="N6" s="1"/>
  <c r="B8" i="11"/>
  <c r="H8" i="5"/>
  <c r="Q4"/>
  <c r="H4"/>
  <c r="K4"/>
  <c r="N4"/>
  <c r="C9"/>
  <c r="O4"/>
  <c r="E9"/>
  <c r="N3"/>
  <c r="N3" i="11"/>
  <c r="O4"/>
  <c r="N4"/>
  <c r="N1"/>
  <c r="Q4"/>
  <c r="I4" i="5"/>
  <c r="E9" i="11"/>
  <c r="B6"/>
  <c r="C9"/>
  <c r="B9"/>
  <c r="Q9"/>
  <c r="O9"/>
  <c r="N6"/>
  <c r="N9"/>
  <c r="I9"/>
  <c r="K9"/>
  <c r="H6"/>
  <c r="H9"/>
  <c r="H4"/>
  <c r="I4"/>
  <c r="K4"/>
  <c r="O14" i="5" l="1"/>
  <c r="H3"/>
  <c r="N14"/>
  <c r="H14"/>
  <c r="K14"/>
  <c r="I14"/>
  <c r="Q9"/>
  <c r="I9"/>
  <c r="K9"/>
  <c r="N9"/>
  <c r="O9"/>
  <c r="H9"/>
</calcChain>
</file>

<file path=xl/sharedStrings.xml><?xml version="1.0" encoding="utf-8"?>
<sst xmlns="http://schemas.openxmlformats.org/spreadsheetml/2006/main" count="752" uniqueCount="182">
  <si>
    <t>TOPIC:</t>
  </si>
  <si>
    <t>CMTE:</t>
  </si>
  <si>
    <t>___of___</t>
  </si>
  <si>
    <t>NOTES:</t>
  </si>
  <si>
    <r>
      <t xml:space="preserve">SUBCLIP  </t>
    </r>
    <r>
      <rPr>
        <sz val="12"/>
        <color theme="1"/>
        <rFont val="Webdings"/>
        <family val="1"/>
        <charset val="2"/>
      </rPr>
      <t>c</t>
    </r>
  </si>
  <si>
    <t>Evergreen?</t>
  </si>
  <si>
    <t>IN:</t>
  </si>
  <si>
    <t>DISC:</t>
  </si>
  <si>
    <t>of</t>
  </si>
  <si>
    <t>OUT:</t>
  </si>
  <si>
    <t>DECK:</t>
  </si>
  <si>
    <t>TRT:</t>
  </si>
  <si>
    <t>BY:</t>
  </si>
  <si>
    <t>P</t>
  </si>
  <si>
    <t>A</t>
  </si>
  <si>
    <t>S</t>
  </si>
  <si>
    <t>T</t>
  </si>
  <si>
    <t>E</t>
  </si>
  <si>
    <t>B</t>
  </si>
  <si>
    <t>L</t>
  </si>
  <si>
    <t>O</t>
  </si>
  <si>
    <t>W</t>
  </si>
  <si>
    <t>"</t>
  </si>
  <si>
    <t>'''''''''''''''''''</t>
  </si>
  <si>
    <t>&amp;</t>
  </si>
  <si>
    <t>Description</t>
  </si>
  <si>
    <t>(LIVE)</t>
  </si>
  <si>
    <t>(Today)</t>
  </si>
  <si>
    <t>Monday</t>
  </si>
  <si>
    <t>Tuesday</t>
  </si>
  <si>
    <t>Wednesday</t>
  </si>
  <si>
    <t>Thursday</t>
  </si>
  <si>
    <t>Friday</t>
  </si>
  <si>
    <t>Saturday</t>
  </si>
  <si>
    <t>Sunday</t>
  </si>
  <si>
    <t>Name</t>
  </si>
  <si>
    <t>AD or CLEAN</t>
  </si>
  <si>
    <t>Today</t>
  </si>
  <si>
    <t>Wed</t>
  </si>
  <si>
    <t>Sat.</t>
  </si>
  <si>
    <t>TODAY</t>
  </si>
  <si>
    <t>Final Date</t>
  </si>
  <si>
    <t>LIVE</t>
  </si>
  <si>
    <t>Date</t>
  </si>
  <si>
    <t># B</t>
  </si>
  <si>
    <t>DATE</t>
  </si>
  <si>
    <t>NAME</t>
  </si>
  <si>
    <t>LABEL 1</t>
  </si>
  <si>
    <t>LABEL 2</t>
  </si>
  <si>
    <t>LABEL 3</t>
  </si>
  <si>
    <t>LABEL 4</t>
  </si>
  <si>
    <t>LABEL 5</t>
  </si>
  <si>
    <t>LABEL 6</t>
  </si>
  <si>
    <t>LABEL 7</t>
  </si>
  <si>
    <t>LABEL 8</t>
  </si>
  <si>
    <t>LABEL 9</t>
  </si>
  <si>
    <t>LABEL 10</t>
  </si>
  <si>
    <t>LABEL 11</t>
  </si>
  <si>
    <t>LABEL 12</t>
  </si>
  <si>
    <t>LABEL 13</t>
  </si>
  <si>
    <t>LABEL 14</t>
  </si>
  <si>
    <t>LABEL 15</t>
  </si>
  <si>
    <t>LABEL 16</t>
  </si>
  <si>
    <t>LABEL 17</t>
  </si>
  <si>
    <t>LABEL 18</t>
  </si>
  <si>
    <t>LABEL 19</t>
  </si>
  <si>
    <t>LABEL 20</t>
  </si>
  <si>
    <t>LABEL 21</t>
  </si>
  <si>
    <t>LABEL 22</t>
  </si>
  <si>
    <t>LABEL 23</t>
  </si>
  <si>
    <t>LABEL 24</t>
  </si>
  <si>
    <t>AD or Clean</t>
  </si>
  <si>
    <t># of Empy Cells</t>
  </si>
  <si>
    <t>Internet Sales Tax</t>
  </si>
  <si>
    <t>A news conference on internet sales tax with R Street Institute and the National Taxpayers Union</t>
  </si>
  <si>
    <t>7.10.14</t>
  </si>
  <si>
    <t>News</t>
  </si>
  <si>
    <t>Basic Education Funding Commission Meeting</t>
  </si>
  <si>
    <t>Created by Act 51 of 2014, the commission is tasked with developing and recommending to the General Assembly a new basic education funding formula for Pennsylvania school districts.</t>
  </si>
  <si>
    <t>Public Affairs</t>
  </si>
  <si>
    <t>State Capitol</t>
  </si>
  <si>
    <t>Education and Economic Development</t>
  </si>
  <si>
    <t>A hearing on education and economic development with the PA House Democratic Policy Committee</t>
  </si>
  <si>
    <t>Hearings</t>
  </si>
  <si>
    <t>pitt</t>
  </si>
  <si>
    <t>Monessen High School</t>
  </si>
  <si>
    <t>http://www.pahouse.com/policycommittee/</t>
  </si>
  <si>
    <t>Fingerprinting Reporting</t>
  </si>
  <si>
    <t>A hearing on fingerprinting reporting with the PA House Judiciary Committee</t>
  </si>
  <si>
    <t>hbv</t>
  </si>
  <si>
    <t>Gov. Tom Corbett Pension Roundtable</t>
  </si>
  <si>
    <t>Gov. Tom Corbett held a roundtable discussion on pensions and property taxes</t>
  </si>
  <si>
    <t>phila</t>
  </si>
  <si>
    <t>Neshaminy Senior Activities Center in Trevose, PA</t>
  </si>
  <si>
    <t>http://www.governor.state.pa.us/</t>
  </si>
  <si>
    <t>PCN Profiles Robert Jubelirer</t>
  </si>
  <si>
    <t>An interview with Robert Jubelirer, Former PA Senate Pro Tempore</t>
  </si>
  <si>
    <t>PCN Profiles</t>
  </si>
  <si>
    <t>http://www.obermayer.com/attorneys/robert-c-jubelirer/</t>
  </si>
  <si>
    <t xml:space="preserve">It's History! Flagship Niagara </t>
  </si>
  <si>
    <t>A tour of Flagship Niagara in Erie, PA</t>
  </si>
  <si>
    <t>It's History</t>
  </si>
  <si>
    <t>http://www.flagshipniagara.org/</t>
  </si>
  <si>
    <t xml:space="preserve">PCN Tours Gifford Pinchot State Park </t>
  </si>
  <si>
    <t>A tour of Gifford Pinchot State Park in York County</t>
  </si>
  <si>
    <t>PCN Tours</t>
  </si>
  <si>
    <t>http://www.dcnr.state.pa.us/stateparks/parks/giffordpinchot.aspx</t>
  </si>
  <si>
    <t xml:space="preserve">PCN Tours Frances Slocum State Park </t>
  </si>
  <si>
    <t>A tour of Frances Slocum State Park in Luzerne County</t>
  </si>
  <si>
    <t>http://www.dcnr.state.pa.us/stateparks/findapark/francesslocum/</t>
  </si>
  <si>
    <t>PCN Tours French Creek State Park</t>
  </si>
  <si>
    <t>A tour of French Creek State Park in Berks and Chester Counties</t>
  </si>
  <si>
    <t>http://www.dcnr.state.pa.us/stateparks/findapark/frenchcreek/</t>
  </si>
  <si>
    <t xml:space="preserve">PA Books "The Whiskey Rebellion" </t>
  </si>
  <si>
    <t>An interview about the book "The Whiskey Rebellion" with author William Hogeland</t>
  </si>
  <si>
    <t>PA Books</t>
  </si>
  <si>
    <t>http://books.simonandschuster.com/Whiskey-Rebellion/William-Hogeland/9780743254915</t>
  </si>
  <si>
    <t>"Blue Collar Conservatives" Book Discussion with Rick Santorum</t>
  </si>
  <si>
    <t>Former U.S. Senator Rick Santorum on his nationwide tour, discusses his latest book, "Blue Collar Conservatives"</t>
  </si>
  <si>
    <t>Tremendous Life Books in Mechanicsburg</t>
  </si>
  <si>
    <t>http://www.patriotvoices.com/</t>
  </si>
  <si>
    <t>Care-Giving Economic Issues</t>
  </si>
  <si>
    <t>A hearing on care-giving economic issues with Sen. Bob Casey and the U.S. Senate Special Committee on Aging</t>
  </si>
  <si>
    <t>6.30.14</t>
  </si>
  <si>
    <t>Allegheny County Courthouse in Pittsburgh</t>
  </si>
  <si>
    <t>http://www.casey.senate.gov/</t>
  </si>
  <si>
    <t>Tom Wolf tours Mountain Productions</t>
  </si>
  <si>
    <t>Tom Wolf, Democratic nominee for Governor, toured Mountain Productions in Wilkes-Barre during a campaign event.</t>
  </si>
  <si>
    <t>Election</t>
  </si>
  <si>
    <t>Wilkes-Barre</t>
  </si>
  <si>
    <t>http://www.wolfforpa.com/</t>
  </si>
  <si>
    <t>State Police Helicopter Unveiling</t>
  </si>
  <si>
    <t>A news conference on the state police unveiling of six new Bell 407GX helicopters for service</t>
  </si>
  <si>
    <t>PA State Police Academy in Hershey</t>
  </si>
  <si>
    <t>http://www.psp.state.pa.us/</t>
  </si>
  <si>
    <t>Weather World</t>
  </si>
  <si>
    <t>Statewide weather report and weather-related information produced by Penn State's Weather Communications Group faculty and students</t>
  </si>
  <si>
    <t>pswcg</t>
  </si>
  <si>
    <t>Walker Building at Penn State in University Park</t>
  </si>
  <si>
    <t>http://weatherworld.psu.edu/</t>
  </si>
  <si>
    <t>Central Penn Business Journal Health Care Symposium</t>
  </si>
  <si>
    <t>Guest was PA Insurance Commissioner Michael Consedine.  Topics include Employer's Roles and Affiliations, Mergers, Partnerships and Acquisitions</t>
  </si>
  <si>
    <t>Sheraton Harrisburg Hershey Hotel</t>
  </si>
  <si>
    <t>http://www.cpbj.com/section/healthcareSymposium</t>
  </si>
  <si>
    <t>PCN Profiles the band Live</t>
  </si>
  <si>
    <t>An interview with bass player Patrick Dahlheimer and guitar player Chad Taylor, members of the band Live</t>
  </si>
  <si>
    <t>http://freaks4live.com/</t>
  </si>
  <si>
    <t>PCN Profiles Bill Cowher</t>
  </si>
  <si>
    <t>An interview with former NFL coach and player Bill Cowher</t>
  </si>
  <si>
    <t>Hotel Hershey</t>
  </si>
  <si>
    <t>PCN Profiles Chris Doherty</t>
  </si>
  <si>
    <t>An interview with Chris Doherty, former mayor of Scranton</t>
  </si>
  <si>
    <t>id</t>
  </si>
  <si>
    <t>name</t>
  </si>
  <si>
    <t>description</t>
  </si>
  <si>
    <t>bug</t>
  </si>
  <si>
    <t>sponsor</t>
  </si>
  <si>
    <t>category</t>
  </si>
  <si>
    <t>start_time</t>
  </si>
  <si>
    <t>end_time</t>
  </si>
  <si>
    <t>start_date</t>
  </si>
  <si>
    <t>end_date</t>
  </si>
  <si>
    <t>run_time</t>
  </si>
  <si>
    <t>source</t>
  </si>
  <si>
    <t>location</t>
  </si>
  <si>
    <t>url</t>
  </si>
  <si>
    <t>is_live</t>
  </si>
  <si>
    <t>is_cc</t>
  </si>
  <si>
    <t>is_new</t>
  </si>
  <si>
    <t>year_prod</t>
  </si>
  <si>
    <t>Contractor and Subcontractor Payments</t>
  </si>
  <si>
    <t>PA House Commerce committee hearing</t>
  </si>
  <si>
    <t>Medical Marijuana</t>
  </si>
  <si>
    <t>PA House Health and Judiciary committees hearing</t>
  </si>
  <si>
    <t>League of Women Voters of PA-Citizen Education Fund's Civic Leadership Award</t>
  </si>
  <si>
    <t>League of Women Voters of PA-Citizen Education Fund honors former PA House of Representative and Senator Franklin Kury</t>
  </si>
  <si>
    <t>Climate Impact on PA</t>
  </si>
  <si>
    <t>Widener University School of Law forum with Ken Kimmell of Union of Concerned Scientists, as he discusses the latest in climate impact on PA</t>
  </si>
  <si>
    <t>PA Supreme Court</t>
  </si>
  <si>
    <t>Pittsburgh</t>
  </si>
  <si>
    <t>PA Public Utility Commission Meeting</t>
  </si>
  <si>
    <t>Harrisburg</t>
  </si>
</sst>
</file>

<file path=xl/styles.xml><?xml version="1.0" encoding="utf-8"?>
<styleSheet xmlns="http://schemas.openxmlformats.org/spreadsheetml/2006/main">
  <numFmts count="4">
    <numFmt numFmtId="164" formatCode="mm/dd/yy;@"/>
    <numFmt numFmtId="165" formatCode="m/d/yy;@"/>
    <numFmt numFmtId="166" formatCode="[$-F800]dddd\,\ mmmm\ dd\,\ yyyy"/>
    <numFmt numFmtId="167" formatCode="m/d;@"/>
  </numFmts>
  <fonts count="38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sz val="8"/>
      <color theme="1"/>
      <name val="Times New Roman"/>
      <family val="1"/>
    </font>
    <font>
      <sz val="6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Webdings"/>
      <family val="1"/>
      <charset val="2"/>
    </font>
    <font>
      <sz val="10"/>
      <color theme="1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10"/>
      <name val="Calibri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sz val="8"/>
      <color indexed="8"/>
      <name val="Calibri"/>
      <family val="2"/>
    </font>
    <font>
      <sz val="11"/>
      <color indexed="11"/>
      <name val="Calibri"/>
      <family val="2"/>
    </font>
    <font>
      <sz val="8"/>
      <color indexed="11"/>
      <name val="Calibri"/>
      <family val="2"/>
    </font>
    <font>
      <sz val="24"/>
      <name val="Arial"/>
      <family val="2"/>
    </font>
    <font>
      <i/>
      <sz val="10"/>
      <color theme="1"/>
      <name val="Times New Roman"/>
      <family val="1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sz val="12"/>
      <color theme="1"/>
      <name val="Cambria"/>
      <family val="1"/>
      <scheme val="major"/>
    </font>
    <font>
      <i/>
      <sz val="9"/>
      <color theme="1"/>
      <name val="Cambria"/>
      <family val="1"/>
      <scheme val="major"/>
    </font>
    <font>
      <sz val="9"/>
      <color rgb="FF000000"/>
      <name val="Cambria"/>
      <family val="1"/>
      <scheme val="major"/>
    </font>
    <font>
      <sz val="8"/>
      <color rgb="FF000000"/>
      <name val="Cambria"/>
      <family val="1"/>
      <scheme val="major"/>
    </font>
    <font>
      <sz val="10"/>
      <name val="Arial"/>
      <family val="2"/>
    </font>
    <font>
      <i/>
      <sz val="11"/>
      <color theme="1"/>
      <name val="Cambria"/>
      <family val="1"/>
      <scheme val="major"/>
    </font>
    <font>
      <i/>
      <sz val="12"/>
      <color theme="1"/>
      <name val="Cambria"/>
      <family val="1"/>
      <scheme val="major"/>
    </font>
    <font>
      <b/>
      <sz val="11"/>
      <color theme="1"/>
      <name val="Calibri"/>
      <family val="2"/>
      <scheme val="minor"/>
    </font>
    <font>
      <sz val="10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  <font>
      <sz val="11"/>
      <color theme="0"/>
      <name val="Cambria"/>
      <family val="1"/>
      <scheme val="major"/>
    </font>
    <font>
      <sz val="24"/>
      <color theme="1"/>
      <name val="Cambria"/>
      <family val="1"/>
      <scheme val="major"/>
    </font>
    <font>
      <sz val="9.9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3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1"/>
      </bottom>
      <diagonal/>
    </border>
    <border>
      <left/>
      <right style="thin">
        <color theme="1"/>
      </right>
      <top style="thin">
        <color theme="0" tint="-0.249977111117893"/>
      </top>
      <bottom style="thin">
        <color theme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1" fillId="0" borderId="0" xfId="0" applyFont="1" applyBorder="1"/>
    <xf numFmtId="0" fontId="5" fillId="0" borderId="0" xfId="0" applyFont="1" applyBorder="1"/>
    <xf numFmtId="0" fontId="5" fillId="0" borderId="3" xfId="0" applyFont="1" applyBorder="1" applyAlignment="1">
      <alignment horizontal="center" vertical="top" textRotation="180"/>
    </xf>
    <xf numFmtId="0" fontId="1" fillId="0" borderId="0" xfId="0" applyFont="1" applyFill="1" applyBorder="1" applyAlignment="1"/>
    <xf numFmtId="0" fontId="1" fillId="0" borderId="0" xfId="0" applyFont="1" applyBorder="1" applyAlignment="1"/>
    <xf numFmtId="0" fontId="0" fillId="0" borderId="0" xfId="0" applyBorder="1"/>
    <xf numFmtId="0" fontId="0" fillId="0" borderId="0" xfId="0" applyAlignment="1">
      <alignment vertical="center"/>
    </xf>
    <xf numFmtId="0" fontId="10" fillId="4" borderId="0" xfId="0" applyNumberFormat="1" applyFont="1" applyFill="1" applyAlignment="1"/>
    <xf numFmtId="0" fontId="9" fillId="4" borderId="0" xfId="0" applyNumberFormat="1" applyFont="1" applyFill="1" applyAlignment="1"/>
    <xf numFmtId="0" fontId="9" fillId="4" borderId="3" xfId="0" applyNumberFormat="1" applyFont="1" applyFill="1" applyBorder="1" applyAlignment="1"/>
    <xf numFmtId="0" fontId="11" fillId="4" borderId="5" xfId="0" applyNumberFormat="1" applyFont="1" applyFill="1" applyBorder="1" applyAlignment="1">
      <alignment horizontal="center" vertical="center"/>
    </xf>
    <xf numFmtId="0" fontId="11" fillId="4" borderId="5" xfId="0" applyNumberFormat="1" applyFont="1" applyFill="1" applyBorder="1" applyAlignment="1">
      <alignment horizontal="center"/>
    </xf>
    <xf numFmtId="0" fontId="11" fillId="4" borderId="6" xfId="0" applyNumberFormat="1" applyFont="1" applyFill="1" applyBorder="1" applyAlignment="1">
      <alignment horizontal="center" vertical="center"/>
    </xf>
    <xf numFmtId="0" fontId="12" fillId="0" borderId="0" xfId="0" applyNumberFormat="1" applyFont="1" applyFill="1" applyAlignment="1">
      <alignment horizontal="center" vertical="center"/>
    </xf>
    <xf numFmtId="0" fontId="11" fillId="0" borderId="0" xfId="0" applyNumberFormat="1" applyFont="1" applyFill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NumberFormat="1" applyFont="1" applyFill="1" applyBorder="1" applyAlignment="1">
      <alignment wrapText="1"/>
    </xf>
    <xf numFmtId="18" fontId="13" fillId="0" borderId="0" xfId="0" applyNumberFormat="1" applyFont="1" applyFill="1" applyBorder="1" applyAlignment="1">
      <alignment horizontal="center" vertical="center"/>
    </xf>
    <xf numFmtId="0" fontId="14" fillId="0" borderId="0" xfId="0" applyNumberFormat="1" applyFont="1" applyFill="1" applyBorder="1" applyAlignment="1">
      <alignment vertical="center" wrapText="1"/>
    </xf>
    <xf numFmtId="21" fontId="9" fillId="0" borderId="0" xfId="0" applyNumberFormat="1" applyFont="1" applyFill="1" applyBorder="1" applyAlignment="1">
      <alignment horizontal="center" vertical="center"/>
    </xf>
    <xf numFmtId="21" fontId="15" fillId="0" borderId="0" xfId="0" applyNumberFormat="1" applyFont="1" applyFill="1" applyBorder="1" applyAlignment="1">
      <alignment horizontal="center" vertical="center"/>
    </xf>
    <xf numFmtId="0" fontId="16" fillId="0" borderId="0" xfId="0" applyNumberFormat="1" applyFont="1" applyFill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22" fontId="0" fillId="0" borderId="0" xfId="0" applyNumberFormat="1"/>
    <xf numFmtId="21" fontId="0" fillId="0" borderId="0" xfId="0" applyNumberFormat="1"/>
    <xf numFmtId="164" fontId="5" fillId="0" borderId="3" xfId="0" applyNumberFormat="1" applyFont="1" applyBorder="1" applyAlignment="1">
      <alignment vertical="center" textRotation="180"/>
    </xf>
    <xf numFmtId="0" fontId="4" fillId="0" borderId="0" xfId="0" applyFont="1" applyBorder="1" applyAlignment="1">
      <alignment horizontal="center" vertical="center" textRotation="180"/>
    </xf>
    <xf numFmtId="0" fontId="1" fillId="0" borderId="0" xfId="0" applyFont="1" applyBorder="1" applyAlignment="1">
      <alignment horizontal="center"/>
    </xf>
    <xf numFmtId="49" fontId="1" fillId="0" borderId="0" xfId="0" applyNumberFormat="1" applyFont="1" applyBorder="1" applyAlignment="1">
      <alignment horizontal="right"/>
    </xf>
    <xf numFmtId="49" fontId="1" fillId="0" borderId="0" xfId="0" applyNumberFormat="1" applyFont="1" applyBorder="1" applyAlignment="1"/>
    <xf numFmtId="164" fontId="5" fillId="0" borderId="0" xfId="0" applyNumberFormat="1" applyFont="1" applyBorder="1" applyAlignment="1">
      <alignment horizontal="center" vertical="center" textRotation="180"/>
    </xf>
    <xf numFmtId="0" fontId="5" fillId="0" borderId="3" xfId="0" applyFont="1" applyBorder="1" applyAlignment="1">
      <alignment horizontal="center" vertical="top" textRotation="180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5" fillId="0" borderId="3" xfId="0" applyFont="1" applyBorder="1" applyAlignment="1">
      <alignment horizontal="center" vertical="top" textRotation="180"/>
    </xf>
    <xf numFmtId="0" fontId="1" fillId="0" borderId="9" xfId="0" applyFont="1" applyBorder="1" applyAlignment="1">
      <alignment horizontal="center"/>
    </xf>
    <xf numFmtId="0" fontId="6" fillId="0" borderId="0" xfId="0" applyFont="1" applyBorder="1"/>
    <xf numFmtId="0" fontId="1" fillId="0" borderId="10" xfId="0" applyFont="1" applyBorder="1" applyAlignment="1"/>
    <xf numFmtId="0" fontId="1" fillId="0" borderId="11" xfId="0" applyFont="1" applyBorder="1" applyAlignment="1"/>
    <xf numFmtId="0" fontId="2" fillId="0" borderId="11" xfId="0" applyFont="1" applyBorder="1" applyAlignment="1"/>
    <xf numFmtId="0" fontId="5" fillId="0" borderId="13" xfId="0" applyFont="1" applyBorder="1" applyAlignment="1">
      <alignment horizontal="left"/>
    </xf>
    <xf numFmtId="0" fontId="1" fillId="0" borderId="13" xfId="0" applyFont="1" applyBorder="1"/>
    <xf numFmtId="0" fontId="5" fillId="0" borderId="13" xfId="0" applyFont="1" applyBorder="1"/>
    <xf numFmtId="0" fontId="1" fillId="0" borderId="14" xfId="0" applyFont="1" applyBorder="1"/>
    <xf numFmtId="0" fontId="0" fillId="0" borderId="18" xfId="0" applyBorder="1"/>
    <xf numFmtId="0" fontId="1" fillId="0" borderId="17" xfId="0" applyFont="1" applyBorder="1" applyAlignment="1">
      <alignment horizontal="center"/>
    </xf>
    <xf numFmtId="0" fontId="0" fillId="0" borderId="0" xfId="0" applyAlignment="1"/>
    <xf numFmtId="0" fontId="20" fillId="0" borderId="25" xfId="0" applyFont="1" applyFill="1" applyBorder="1" applyAlignment="1">
      <alignment horizontal="right" vertical="center"/>
    </xf>
    <xf numFmtId="0" fontId="21" fillId="0" borderId="26" xfId="0" applyFont="1" applyBorder="1" applyAlignment="1">
      <alignment horizontal="left" vertical="center"/>
    </xf>
    <xf numFmtId="0" fontId="20" fillId="0" borderId="26" xfId="0" applyFont="1" applyFill="1" applyBorder="1" applyAlignment="1">
      <alignment horizontal="right" vertical="center"/>
    </xf>
    <xf numFmtId="0" fontId="23" fillId="0" borderId="0" xfId="0" applyFont="1"/>
    <xf numFmtId="0" fontId="22" fillId="0" borderId="30" xfId="0" applyFont="1" applyBorder="1" applyAlignment="1">
      <alignment horizontal="right" vertical="center"/>
    </xf>
    <xf numFmtId="0" fontId="22" fillId="0" borderId="31" xfId="0" applyFont="1" applyBorder="1" applyAlignment="1">
      <alignment horizontal="right" vertical="center"/>
    </xf>
    <xf numFmtId="0" fontId="22" fillId="0" borderId="32" xfId="0" applyFont="1" applyBorder="1" applyAlignment="1">
      <alignment vertical="center"/>
    </xf>
    <xf numFmtId="0" fontId="20" fillId="0" borderId="25" xfId="0" applyFont="1" applyFill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6" fillId="0" borderId="25" xfId="0" applyFont="1" applyFill="1" applyBorder="1" applyAlignment="1">
      <alignment horizontal="left" vertical="center"/>
    </xf>
    <xf numFmtId="0" fontId="27" fillId="0" borderId="26" xfId="0" applyFont="1" applyBorder="1" applyAlignment="1">
      <alignment horizontal="left" vertical="center"/>
    </xf>
    <xf numFmtId="0" fontId="26" fillId="0" borderId="26" xfId="0" applyFont="1" applyFill="1" applyBorder="1" applyAlignment="1">
      <alignment horizontal="left" vertical="center"/>
    </xf>
    <xf numFmtId="0" fontId="26" fillId="0" borderId="26" xfId="0" applyFont="1" applyBorder="1" applyAlignment="1">
      <alignment horizontal="left" vertical="center"/>
    </xf>
    <xf numFmtId="0" fontId="22" fillId="0" borderId="30" xfId="0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31" xfId="0" applyFont="1" applyBorder="1" applyAlignment="1">
      <alignment horizontal="right" vertical="center"/>
    </xf>
    <xf numFmtId="0" fontId="23" fillId="0" borderId="32" xfId="0" applyFont="1" applyBorder="1" applyAlignment="1">
      <alignment vertical="center"/>
    </xf>
    <xf numFmtId="166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14" fontId="0" fillId="0" borderId="0" xfId="0" applyNumberFormat="1"/>
    <xf numFmtId="0" fontId="0" fillId="0" borderId="0" xfId="0" applyFont="1"/>
    <xf numFmtId="0" fontId="32" fillId="0" borderId="30" xfId="0" applyFont="1" applyBorder="1" applyAlignment="1">
      <alignment horizontal="center" vertical="center"/>
    </xf>
    <xf numFmtId="0" fontId="32" fillId="0" borderId="31" xfId="0" applyFont="1" applyBorder="1" applyAlignment="1">
      <alignment horizontal="right" vertical="center"/>
    </xf>
    <xf numFmtId="0" fontId="23" fillId="0" borderId="0" xfId="0" applyFont="1" applyBorder="1"/>
    <xf numFmtId="0" fontId="25" fillId="0" borderId="0" xfId="0" applyFont="1" applyBorder="1"/>
    <xf numFmtId="0" fontId="25" fillId="0" borderId="0" xfId="0" applyFont="1"/>
    <xf numFmtId="0" fontId="20" fillId="0" borderId="0" xfId="0" applyFont="1" applyFill="1" applyBorder="1" applyAlignment="1">
      <alignment horizontal="right" vertical="center"/>
    </xf>
    <xf numFmtId="0" fontId="21" fillId="0" borderId="0" xfId="0" applyFont="1" applyBorder="1" applyAlignment="1">
      <alignment horizontal="left" vertical="center"/>
    </xf>
    <xf numFmtId="0" fontId="22" fillId="0" borderId="0" xfId="0" applyFont="1" applyBorder="1" applyAlignment="1">
      <alignment horizontal="right" vertical="center"/>
    </xf>
    <xf numFmtId="0" fontId="22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6" fillId="0" borderId="0" xfId="0" applyFont="1" applyFill="1" applyBorder="1" applyAlignment="1">
      <alignment horizontal="left" vertical="center"/>
    </xf>
    <xf numFmtId="0" fontId="27" fillId="0" borderId="0" xfId="0" applyFont="1" applyBorder="1" applyAlignment="1">
      <alignment horizontal="left" vertical="center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right" vertical="center"/>
    </xf>
    <xf numFmtId="0" fontId="23" fillId="0" borderId="0" xfId="0" applyFont="1" applyBorder="1" applyAlignment="1">
      <alignment vertical="center"/>
    </xf>
    <xf numFmtId="0" fontId="26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35" fillId="10" borderId="0" xfId="0" applyFont="1" applyFill="1"/>
    <xf numFmtId="0" fontId="23" fillId="10" borderId="0" xfId="0" applyFont="1" applyFill="1"/>
    <xf numFmtId="0" fontId="0" fillId="0" borderId="0" xfId="0" applyAlignment="1"/>
    <xf numFmtId="22" fontId="0" fillId="0" borderId="0" xfId="0" applyNumberFormat="1" applyAlignment="1"/>
    <xf numFmtId="21" fontId="0" fillId="0" borderId="0" xfId="0" applyNumberFormat="1" applyAlignment="1"/>
    <xf numFmtId="0" fontId="37" fillId="0" borderId="0" xfId="0" applyFont="1"/>
    <xf numFmtId="0" fontId="9" fillId="3" borderId="0" xfId="0" applyNumberFormat="1" applyFont="1" applyFill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49" fontId="1" fillId="2" borderId="17" xfId="0" applyNumberFormat="1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49" fontId="1" fillId="0" borderId="2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0" fontId="8" fillId="0" borderId="19" xfId="0" applyFont="1" applyBorder="1" applyAlignment="1">
      <alignment horizontal="center" vertical="center" textRotation="180" shrinkToFit="1"/>
    </xf>
    <xf numFmtId="0" fontId="8" fillId="0" borderId="1" xfId="0" applyFont="1" applyBorder="1" applyAlignment="1">
      <alignment horizontal="center" vertical="center" textRotation="180" shrinkToFit="1"/>
    </xf>
    <xf numFmtId="0" fontId="8" fillId="0" borderId="13" xfId="0" applyFont="1" applyBorder="1" applyAlignment="1">
      <alignment horizontal="center" vertical="center" textRotation="180" shrinkToFit="1"/>
    </xf>
    <xf numFmtId="0" fontId="8" fillId="0" borderId="0" xfId="0" applyFont="1" applyBorder="1" applyAlignment="1">
      <alignment horizontal="center" vertical="center" textRotation="180" shrinkToFit="1"/>
    </xf>
    <xf numFmtId="0" fontId="8" fillId="0" borderId="20" xfId="0" applyFont="1" applyBorder="1" applyAlignment="1">
      <alignment horizontal="center" vertical="center" textRotation="180" shrinkToFit="1"/>
    </xf>
    <xf numFmtId="0" fontId="8" fillId="0" borderId="4" xfId="0" applyFont="1" applyBorder="1" applyAlignment="1">
      <alignment horizontal="center" vertical="center" textRotation="180" shrinkToFit="1"/>
    </xf>
    <xf numFmtId="0" fontId="2" fillId="0" borderId="2" xfId="0" applyFont="1" applyBorder="1" applyAlignment="1">
      <alignment horizontal="center" vertical="center" textRotation="180"/>
    </xf>
    <xf numFmtId="0" fontId="2" fillId="0" borderId="3" xfId="0" applyFont="1" applyBorder="1" applyAlignment="1">
      <alignment horizontal="center" vertical="center" textRotation="180"/>
    </xf>
    <xf numFmtId="0" fontId="1" fillId="0" borderId="0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18" fillId="0" borderId="14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top" textRotation="180"/>
    </xf>
    <xf numFmtId="0" fontId="1" fillId="0" borderId="13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164" fontId="2" fillId="0" borderId="3" xfId="0" applyNumberFormat="1" applyFont="1" applyBorder="1" applyAlignment="1">
      <alignment horizontal="center" vertical="center" textRotation="180"/>
    </xf>
    <xf numFmtId="164" fontId="2" fillId="0" borderId="7" xfId="0" applyNumberFormat="1" applyFont="1" applyBorder="1" applyAlignment="1">
      <alignment horizontal="center" vertical="center" textRotation="180"/>
    </xf>
    <xf numFmtId="0" fontId="1" fillId="2" borderId="15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49" fontId="1" fillId="2" borderId="9" xfId="0" applyNumberFormat="1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65" fontId="2" fillId="0" borderId="11" xfId="0" applyNumberFormat="1" applyFont="1" applyBorder="1" applyAlignment="1">
      <alignment horizontal="center" vertical="center"/>
    </xf>
    <xf numFmtId="165" fontId="2" fillId="0" borderId="12" xfId="0" applyNumberFormat="1" applyFont="1" applyBorder="1" applyAlignment="1">
      <alignment horizontal="center" vertical="center"/>
    </xf>
    <xf numFmtId="0" fontId="0" fillId="0" borderId="3" xfId="0" applyFill="1" applyBorder="1" applyAlignment="1">
      <alignment horizontal="center"/>
    </xf>
    <xf numFmtId="0" fontId="8" fillId="0" borderId="1" xfId="0" applyFont="1" applyBorder="1" applyAlignment="1">
      <alignment horizontal="center" vertical="center" textRotation="180"/>
    </xf>
    <xf numFmtId="0" fontId="8" fillId="0" borderId="0" xfId="0" applyFont="1" applyBorder="1" applyAlignment="1">
      <alignment horizontal="center" vertical="center" textRotation="180"/>
    </xf>
    <xf numFmtId="0" fontId="8" fillId="0" borderId="4" xfId="0" applyFont="1" applyBorder="1" applyAlignment="1">
      <alignment horizontal="center" vertical="center" textRotation="180"/>
    </xf>
    <xf numFmtId="49" fontId="1" fillId="0" borderId="21" xfId="0" applyNumberFormat="1" applyFont="1" applyBorder="1" applyAlignment="1">
      <alignment horizontal="center"/>
    </xf>
    <xf numFmtId="49" fontId="1" fillId="0" borderId="22" xfId="0" applyNumberFormat="1" applyFon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30" fillId="0" borderId="0" xfId="0" applyFont="1" applyBorder="1" applyAlignment="1">
      <alignment horizontal="center" vertical="center" shrinkToFit="1"/>
    </xf>
    <xf numFmtId="0" fontId="29" fillId="0" borderId="0" xfId="0" applyFont="1" applyBorder="1" applyAlignment="1">
      <alignment horizontal="center" vertical="center" shrinkToFit="1"/>
    </xf>
    <xf numFmtId="0" fontId="22" fillId="0" borderId="0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/>
    </xf>
    <xf numFmtId="14" fontId="22" fillId="0" borderId="0" xfId="0" applyNumberFormat="1" applyFont="1" applyFill="1" applyBorder="1" applyAlignment="1">
      <alignment horizontal="right" vertical="center"/>
    </xf>
    <xf numFmtId="0" fontId="22" fillId="0" borderId="0" xfId="0" applyFont="1" applyBorder="1" applyAlignment="1">
      <alignment horizontal="right"/>
    </xf>
    <xf numFmtId="14" fontId="22" fillId="0" borderId="0" xfId="0" applyNumberFormat="1" applyFont="1" applyFill="1" applyBorder="1" applyAlignment="1">
      <alignment horizontal="left" vertical="center"/>
    </xf>
    <xf numFmtId="0" fontId="25" fillId="0" borderId="0" xfId="0" applyFont="1" applyBorder="1" applyAlignment="1">
      <alignment horizontal="center" vertical="center" shrinkToFit="1"/>
    </xf>
    <xf numFmtId="14" fontId="32" fillId="0" borderId="0" xfId="0" applyNumberFormat="1" applyFont="1" applyFill="1" applyBorder="1" applyAlignment="1">
      <alignment horizontal="left" vertical="center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/>
    </xf>
    <xf numFmtId="14" fontId="23" fillId="0" borderId="0" xfId="0" applyNumberFormat="1" applyFont="1" applyFill="1" applyBorder="1" applyAlignment="1">
      <alignment horizontal="left" vertical="center"/>
    </xf>
    <xf numFmtId="0" fontId="31" fillId="0" borderId="0" xfId="0" applyFont="1" applyBorder="1" applyAlignment="1">
      <alignment vertical="center" wrapText="1"/>
    </xf>
    <xf numFmtId="0" fontId="25" fillId="0" borderId="0" xfId="0" applyNumberFormat="1" applyFont="1" applyBorder="1" applyAlignment="1">
      <alignment horizontal="center" vertical="center" shrinkToFit="1"/>
    </xf>
    <xf numFmtId="0" fontId="33" fillId="0" borderId="0" xfId="0" applyFont="1" applyBorder="1" applyAlignment="1">
      <alignment horizontal="center" wrapText="1"/>
    </xf>
    <xf numFmtId="0" fontId="36" fillId="0" borderId="0" xfId="0" applyFont="1" applyAlignment="1">
      <alignment horizontal="center"/>
    </xf>
    <xf numFmtId="0" fontId="34" fillId="0" borderId="0" xfId="0" applyFont="1" applyBorder="1" applyAlignment="1">
      <alignment horizontal="center" vertical="center" wrapText="1" shrinkToFit="1"/>
    </xf>
    <xf numFmtId="0" fontId="31" fillId="0" borderId="0" xfId="0" applyFont="1" applyBorder="1" applyAlignment="1">
      <alignment vertical="center" wrapText="1" shrinkToFit="1"/>
    </xf>
    <xf numFmtId="0" fontId="22" fillId="0" borderId="0" xfId="0" applyFont="1" applyBorder="1" applyAlignment="1">
      <alignment horizontal="left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6" borderId="0" xfId="0" quotePrefix="1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3" fillId="0" borderId="33" xfId="0" applyFont="1" applyBorder="1" applyAlignment="1">
      <alignment horizontal="center"/>
    </xf>
    <xf numFmtId="0" fontId="30" fillId="0" borderId="28" xfId="0" applyFont="1" applyBorder="1" applyAlignment="1">
      <alignment horizontal="center" shrinkToFit="1"/>
    </xf>
    <xf numFmtId="0" fontId="30" fillId="0" borderId="0" xfId="0" applyFont="1" applyBorder="1" applyAlignment="1">
      <alignment horizontal="center" shrinkToFit="1"/>
    </xf>
    <xf numFmtId="0" fontId="30" fillId="0" borderId="29" xfId="0" applyFont="1" applyBorder="1" applyAlignment="1">
      <alignment horizontal="center" shrinkToFit="1"/>
    </xf>
    <xf numFmtId="0" fontId="29" fillId="0" borderId="28" xfId="0" applyFont="1" applyBorder="1" applyAlignment="1">
      <alignment horizontal="center" shrinkToFit="1"/>
    </xf>
    <xf numFmtId="0" fontId="29" fillId="0" borderId="0" xfId="0" applyFont="1" applyBorder="1" applyAlignment="1">
      <alignment horizontal="center" shrinkToFit="1"/>
    </xf>
    <xf numFmtId="0" fontId="29" fillId="0" borderId="29" xfId="0" applyFont="1" applyBorder="1" applyAlignment="1">
      <alignment horizontal="center" shrinkToFit="1"/>
    </xf>
    <xf numFmtId="0" fontId="22" fillId="0" borderId="31" xfId="0" applyFont="1" applyBorder="1" applyAlignment="1">
      <alignment horizontal="center" vertical="center"/>
    </xf>
    <xf numFmtId="14" fontId="22" fillId="0" borderId="26" xfId="0" applyNumberFormat="1" applyFont="1" applyFill="1" applyBorder="1" applyAlignment="1">
      <alignment horizontal="right" vertical="center"/>
    </xf>
    <xf numFmtId="0" fontId="22" fillId="0" borderId="27" xfId="0" applyFont="1" applyBorder="1" applyAlignment="1">
      <alignment horizontal="right"/>
    </xf>
    <xf numFmtId="14" fontId="22" fillId="0" borderId="26" xfId="0" applyNumberFormat="1" applyFont="1" applyFill="1" applyBorder="1" applyAlignment="1">
      <alignment horizontal="left" vertical="center"/>
    </xf>
    <xf numFmtId="14" fontId="22" fillId="0" borderId="27" xfId="0" applyNumberFormat="1" applyFont="1" applyFill="1" applyBorder="1" applyAlignment="1">
      <alignment horizontal="left" vertical="center"/>
    </xf>
    <xf numFmtId="0" fontId="24" fillId="0" borderId="28" xfId="0" applyFont="1" applyBorder="1" applyAlignment="1">
      <alignment horizontal="center"/>
    </xf>
    <xf numFmtId="0" fontId="24" fillId="0" borderId="0" xfId="0" applyFont="1" applyBorder="1" applyAlignment="1">
      <alignment horizontal="center"/>
    </xf>
    <xf numFmtId="0" fontId="24" fillId="0" borderId="29" xfId="0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23" fillId="0" borderId="29" xfId="0" applyFont="1" applyBorder="1" applyAlignment="1">
      <alignment horizontal="center"/>
    </xf>
    <xf numFmtId="0" fontId="32" fillId="0" borderId="31" xfId="0" applyFont="1" applyBorder="1" applyAlignment="1">
      <alignment horizontal="center" vertical="center"/>
    </xf>
    <xf numFmtId="14" fontId="32" fillId="0" borderId="26" xfId="0" applyNumberFormat="1" applyFont="1" applyFill="1" applyBorder="1" applyAlignment="1">
      <alignment horizontal="left" vertical="center"/>
    </xf>
    <xf numFmtId="14" fontId="32" fillId="0" borderId="27" xfId="0" applyNumberFormat="1" applyFont="1" applyFill="1" applyBorder="1" applyAlignment="1">
      <alignment horizontal="left" vertical="center"/>
    </xf>
    <xf numFmtId="14" fontId="23" fillId="0" borderId="26" xfId="0" applyNumberFormat="1" applyFont="1" applyFill="1" applyBorder="1" applyAlignment="1">
      <alignment horizontal="left" vertical="center"/>
    </xf>
    <xf numFmtId="14" fontId="23" fillId="0" borderId="27" xfId="0" applyNumberFormat="1" applyFont="1" applyFill="1" applyBorder="1" applyAlignment="1">
      <alignment horizontal="left" vertical="center"/>
    </xf>
    <xf numFmtId="0" fontId="23" fillId="0" borderId="31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shrinkToFit="1"/>
    </xf>
    <xf numFmtId="0" fontId="25" fillId="0" borderId="0" xfId="0" applyFont="1" applyBorder="1" applyAlignment="1">
      <alignment horizontal="center" shrinkToFit="1"/>
    </xf>
    <xf numFmtId="0" fontId="25" fillId="0" borderId="29" xfId="0" applyFont="1" applyBorder="1" applyAlignment="1">
      <alignment horizontal="center" shrinkToFit="1"/>
    </xf>
    <xf numFmtId="0" fontId="22" fillId="0" borderId="27" xfId="0" applyFont="1" applyBorder="1" applyAlignment="1">
      <alignment horizontal="left"/>
    </xf>
    <xf numFmtId="0" fontId="24" fillId="0" borderId="28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9" xfId="0" applyBorder="1" applyAlignment="1">
      <alignment wrapText="1"/>
    </xf>
    <xf numFmtId="0" fontId="25" fillId="0" borderId="28" xfId="0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25" fillId="0" borderId="29" xfId="0" applyFont="1" applyBorder="1" applyAlignment="1">
      <alignment horizontal="center"/>
    </xf>
    <xf numFmtId="0" fontId="25" fillId="0" borderId="28" xfId="0" applyNumberFormat="1" applyFont="1" applyBorder="1" applyAlignment="1">
      <alignment horizontal="center" shrinkToFit="1"/>
    </xf>
    <xf numFmtId="0" fontId="25" fillId="0" borderId="0" xfId="0" applyNumberFormat="1" applyFont="1" applyBorder="1" applyAlignment="1">
      <alignment horizontal="center" shrinkToFit="1"/>
    </xf>
    <xf numFmtId="0" fontId="25" fillId="0" borderId="29" xfId="0" applyNumberFormat="1" applyFont="1" applyBorder="1" applyAlignment="1">
      <alignment horizontal="center" shrinkToFit="1"/>
    </xf>
    <xf numFmtId="0" fontId="0" fillId="0" borderId="0" xfId="0" applyAlignment="1"/>
    <xf numFmtId="0" fontId="0" fillId="0" borderId="29" xfId="0" applyBorder="1" applyAlignment="1"/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te%20Logschedulemacro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steHere"/>
      <sheetName val="MC Schedule (2)"/>
      <sheetName val="Taperoom Schedule"/>
      <sheetName val="Morning Tour Book Profile"/>
      <sheetName val="Crawls"/>
      <sheetName val="Code"/>
      <sheetName val="Formulas"/>
      <sheetName val="macro"/>
      <sheetName val="Bug"/>
      <sheetName val="Date"/>
    </sheetNames>
    <sheetDataSet>
      <sheetData sheetId="0"/>
      <sheetData sheetId="1"/>
      <sheetData sheetId="2"/>
      <sheetData sheetId="3"/>
      <sheetData sheetId="4"/>
      <sheetData sheetId="5">
        <row r="2">
          <cell r="H2" t="str">
            <v/>
          </cell>
        </row>
        <row r="9">
          <cell r="H9" t="str">
            <v/>
          </cell>
        </row>
        <row r="10">
          <cell r="H10" t="str">
            <v/>
          </cell>
        </row>
        <row r="11">
          <cell r="H11" t="str">
            <v/>
          </cell>
        </row>
        <row r="12">
          <cell r="H12" t="str">
            <v/>
          </cell>
        </row>
        <row r="13">
          <cell r="H13" t="str">
            <v/>
          </cell>
        </row>
        <row r="14">
          <cell r="H14" t="str">
            <v/>
          </cell>
        </row>
        <row r="15">
          <cell r="H15" t="str">
            <v/>
          </cell>
        </row>
        <row r="16">
          <cell r="H16" t="str">
            <v/>
          </cell>
        </row>
        <row r="17">
          <cell r="H17" t="str">
            <v/>
          </cell>
        </row>
        <row r="18">
          <cell r="H18" t="str">
            <v/>
          </cell>
        </row>
        <row r="19">
          <cell r="H19" t="str">
            <v/>
          </cell>
        </row>
        <row r="20">
          <cell r="H20" t="str">
            <v/>
          </cell>
        </row>
        <row r="21">
          <cell r="H21" t="str">
            <v/>
          </cell>
        </row>
        <row r="22">
          <cell r="H22" t="str">
            <v/>
          </cell>
        </row>
        <row r="23">
          <cell r="H23" t="str">
            <v/>
          </cell>
        </row>
        <row r="24">
          <cell r="H24" t="str">
            <v/>
          </cell>
        </row>
        <row r="25">
          <cell r="H25" t="str">
            <v/>
          </cell>
        </row>
        <row r="26">
          <cell r="H26" t="str">
            <v/>
          </cell>
        </row>
        <row r="27">
          <cell r="H27" t="str">
            <v/>
          </cell>
        </row>
        <row r="28">
          <cell r="H28" t="str">
            <v/>
          </cell>
        </row>
        <row r="29">
          <cell r="H29" t="str">
            <v/>
          </cell>
        </row>
        <row r="30">
          <cell r="H30" t="str">
            <v/>
          </cell>
        </row>
        <row r="31">
          <cell r="H31" t="str">
            <v/>
          </cell>
        </row>
        <row r="32">
          <cell r="H32" t="str">
            <v/>
          </cell>
        </row>
        <row r="33">
          <cell r="H33" t="str">
            <v/>
          </cell>
        </row>
        <row r="34">
          <cell r="H34" t="str">
            <v/>
          </cell>
        </row>
        <row r="35">
          <cell r="H35" t="str">
            <v/>
          </cell>
        </row>
        <row r="36">
          <cell r="H36" t="str">
            <v/>
          </cell>
        </row>
        <row r="37">
          <cell r="H37" t="str">
            <v/>
          </cell>
        </row>
        <row r="38">
          <cell r="H38" t="str">
            <v/>
          </cell>
        </row>
        <row r="39">
          <cell r="H39" t="str">
            <v/>
          </cell>
        </row>
        <row r="40">
          <cell r="H40" t="str">
            <v/>
          </cell>
        </row>
        <row r="41">
          <cell r="H41" t="str">
            <v/>
          </cell>
        </row>
        <row r="42">
          <cell r="H42" t="str">
            <v/>
          </cell>
        </row>
        <row r="43">
          <cell r="H43" t="str">
            <v/>
          </cell>
        </row>
        <row r="44">
          <cell r="H44" t="str">
            <v/>
          </cell>
        </row>
        <row r="45">
          <cell r="H45" t="str">
            <v/>
          </cell>
        </row>
        <row r="46">
          <cell r="H46" t="str">
            <v/>
          </cell>
        </row>
        <row r="47">
          <cell r="H47" t="str">
            <v/>
          </cell>
        </row>
        <row r="48">
          <cell r="H48" t="str">
            <v/>
          </cell>
        </row>
        <row r="49">
          <cell r="H49" t="str">
            <v/>
          </cell>
        </row>
        <row r="50">
          <cell r="H50" t="str">
            <v/>
          </cell>
        </row>
        <row r="51">
          <cell r="H51" t="str">
            <v/>
          </cell>
        </row>
        <row r="52">
          <cell r="H52" t="str">
            <v/>
          </cell>
        </row>
        <row r="53">
          <cell r="H53" t="str">
            <v/>
          </cell>
        </row>
        <row r="54">
          <cell r="H54" t="str">
            <v/>
          </cell>
        </row>
        <row r="55">
          <cell r="H55" t="str">
            <v/>
          </cell>
        </row>
        <row r="56">
          <cell r="H56" t="str">
            <v/>
          </cell>
        </row>
        <row r="57">
          <cell r="H57" t="str">
            <v/>
          </cell>
        </row>
        <row r="58">
          <cell r="H58" t="str">
            <v/>
          </cell>
        </row>
        <row r="59">
          <cell r="H59" t="str">
            <v/>
          </cell>
        </row>
        <row r="60">
          <cell r="H60" t="str">
            <v/>
          </cell>
        </row>
        <row r="61">
          <cell r="H61" t="str">
            <v/>
          </cell>
        </row>
        <row r="62">
          <cell r="H62" t="str">
            <v/>
          </cell>
        </row>
        <row r="63">
          <cell r="H63" t="str">
            <v/>
          </cell>
        </row>
        <row r="64">
          <cell r="H64" t="str">
            <v/>
          </cell>
        </row>
      </sheetData>
      <sheetData sheetId="6"/>
      <sheetData sheetId="7"/>
      <sheetData sheetId="8">
        <row r="49">
          <cell r="D49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R232"/>
  <sheetViews>
    <sheetView workbookViewId="0">
      <selection activeCell="J17" sqref="J17"/>
    </sheetView>
  </sheetViews>
  <sheetFormatPr defaultColWidth="9.140625" defaultRowHeight="15"/>
  <cols>
    <col min="1" max="1" width="8.7109375" style="7" customWidth="1"/>
    <col min="2" max="2" width="2.28515625" style="7" customWidth="1"/>
    <col min="3" max="3" width="2.5703125" style="7" customWidth="1"/>
    <col min="4" max="4" width="1.7109375" style="7" customWidth="1"/>
    <col min="5" max="5" width="2" style="7" customWidth="1"/>
    <col min="6" max="6" width="1.7109375" style="7" customWidth="1"/>
    <col min="7" max="7" width="1.85546875" style="7" customWidth="1"/>
    <col min="8" max="9" width="1.7109375" style="7" customWidth="1"/>
    <col min="10" max="10" width="1.5703125" style="7" customWidth="1"/>
    <col min="11" max="11" width="0.7109375" style="7" customWidth="1"/>
    <col min="12" max="12" width="2" style="7" customWidth="1"/>
    <col min="13" max="14" width="1.85546875" style="7" customWidth="1"/>
    <col min="15" max="15" width="9.5703125" style="7" customWidth="1"/>
    <col min="16" max="16" width="27.42578125" style="7" customWidth="1"/>
    <col min="17" max="17" width="10.140625" style="7" customWidth="1"/>
    <col min="18" max="18" width="8.7109375" style="7" customWidth="1"/>
    <col min="19" max="19" width="37.28515625" style="7" customWidth="1"/>
    <col min="20" max="20" width="69.85546875" style="7" customWidth="1"/>
    <col min="21" max="21" width="8.28515625" style="7" customWidth="1"/>
    <col min="22" max="22" width="4.28515625" style="7" customWidth="1"/>
    <col min="23" max="24" width="3.28515625" style="7" customWidth="1"/>
    <col min="25" max="25" width="8.28515625" style="7" customWidth="1"/>
    <col min="26" max="16384" width="9.140625" style="7"/>
  </cols>
  <sheetData>
    <row r="1" spans="1:25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</row>
    <row r="2" spans="1:25">
      <c r="A2" s="8" t="s">
        <v>13</v>
      </c>
      <c r="B2" s="8" t="s">
        <v>14</v>
      </c>
      <c r="C2" s="8" t="s">
        <v>15</v>
      </c>
      <c r="D2" s="8" t="s">
        <v>16</v>
      </c>
      <c r="E2" s="8" t="s">
        <v>17</v>
      </c>
      <c r="F2" s="8"/>
      <c r="G2" s="8" t="s">
        <v>18</v>
      </c>
      <c r="H2" s="8" t="s">
        <v>17</v>
      </c>
      <c r="I2" s="8" t="s">
        <v>19</v>
      </c>
      <c r="J2" s="8" t="s">
        <v>20</v>
      </c>
      <c r="K2" s="8"/>
      <c r="L2" s="8" t="s">
        <v>21</v>
      </c>
      <c r="M2" s="9"/>
      <c r="N2" s="9"/>
      <c r="O2" s="9"/>
      <c r="P2" s="9"/>
      <c r="Q2" s="10"/>
      <c r="R2" s="11"/>
      <c r="S2" s="11"/>
      <c r="T2" s="11"/>
      <c r="U2" s="12"/>
      <c r="V2" s="12"/>
      <c r="W2" s="13"/>
      <c r="X2" s="14"/>
      <c r="Y2" s="15"/>
    </row>
    <row r="3" spans="1:25" customFormat="1">
      <c r="A3">
        <v>945</v>
      </c>
      <c r="B3" t="s">
        <v>73</v>
      </c>
      <c r="C3" t="s">
        <v>74</v>
      </c>
      <c r="D3" t="s">
        <v>75</v>
      </c>
      <c r="F3" t="s">
        <v>76</v>
      </c>
      <c r="G3" s="25">
        <v>0.98611111111111116</v>
      </c>
      <c r="H3" s="25">
        <v>3.472222222222222E-3</v>
      </c>
      <c r="I3" s="70">
        <v>41844</v>
      </c>
      <c r="J3" s="70">
        <v>41845</v>
      </c>
      <c r="K3" s="25">
        <v>1.7986111111111109E-2</v>
      </c>
      <c r="O3">
        <v>0</v>
      </c>
      <c r="P3">
        <v>0</v>
      </c>
      <c r="Q3">
        <v>0</v>
      </c>
      <c r="R3">
        <v>2014</v>
      </c>
    </row>
    <row r="4" spans="1:25" customFormat="1">
      <c r="A4">
        <v>946</v>
      </c>
      <c r="B4" t="s">
        <v>77</v>
      </c>
      <c r="C4" t="s">
        <v>78</v>
      </c>
      <c r="D4" t="s">
        <v>31</v>
      </c>
      <c r="F4" t="s">
        <v>79</v>
      </c>
      <c r="G4" s="25">
        <v>3.472222222222222E-3</v>
      </c>
      <c r="H4" s="25">
        <v>1.7361111111111112E-2</v>
      </c>
      <c r="I4" s="70">
        <v>41845</v>
      </c>
      <c r="J4" s="70">
        <v>41845</v>
      </c>
      <c r="K4" s="25">
        <v>9.6643518518518511E-3</v>
      </c>
      <c r="M4" t="s">
        <v>80</v>
      </c>
      <c r="O4">
        <v>0</v>
      </c>
      <c r="P4">
        <v>0</v>
      </c>
      <c r="Q4">
        <v>0</v>
      </c>
      <c r="R4">
        <v>2014</v>
      </c>
    </row>
    <row r="5" spans="1:25" customFormat="1">
      <c r="A5">
        <v>932</v>
      </c>
      <c r="B5" t="s">
        <v>81</v>
      </c>
      <c r="C5" t="s">
        <v>82</v>
      </c>
      <c r="D5" t="s">
        <v>29</v>
      </c>
      <c r="F5" t="s">
        <v>83</v>
      </c>
      <c r="G5" s="25">
        <v>1.7361111111111112E-2</v>
      </c>
      <c r="H5" s="25">
        <v>0.1111111111111111</v>
      </c>
      <c r="I5" s="70">
        <v>41845</v>
      </c>
      <c r="J5" s="70">
        <v>41845</v>
      </c>
      <c r="K5" s="25">
        <v>9.3541666666666676E-2</v>
      </c>
      <c r="L5" t="s">
        <v>84</v>
      </c>
      <c r="M5" t="s">
        <v>85</v>
      </c>
      <c r="N5" t="s">
        <v>86</v>
      </c>
      <c r="O5">
        <v>0</v>
      </c>
      <c r="P5">
        <v>0</v>
      </c>
      <c r="Q5">
        <v>0</v>
      </c>
      <c r="R5">
        <v>2014</v>
      </c>
    </row>
    <row r="6" spans="1:25" customFormat="1">
      <c r="A6">
        <v>931</v>
      </c>
      <c r="B6" t="s">
        <v>87</v>
      </c>
      <c r="C6" t="s">
        <v>88</v>
      </c>
      <c r="D6" t="s">
        <v>30</v>
      </c>
      <c r="F6" t="s">
        <v>83</v>
      </c>
      <c r="G6" s="25">
        <v>0.1111111111111111</v>
      </c>
      <c r="H6" s="25">
        <v>0.20486111111111113</v>
      </c>
      <c r="I6" s="70">
        <v>41845</v>
      </c>
      <c r="J6" s="70">
        <v>41845</v>
      </c>
      <c r="K6" s="25">
        <v>9.1701388888888888E-2</v>
      </c>
      <c r="L6" t="s">
        <v>89</v>
      </c>
      <c r="M6" t="s">
        <v>80</v>
      </c>
      <c r="O6">
        <v>0</v>
      </c>
      <c r="P6">
        <v>0</v>
      </c>
      <c r="Q6">
        <v>0</v>
      </c>
      <c r="R6">
        <v>2014</v>
      </c>
    </row>
    <row r="7" spans="1:25" customFormat="1">
      <c r="A7">
        <v>930</v>
      </c>
      <c r="B7" t="s">
        <v>90</v>
      </c>
      <c r="C7" t="s">
        <v>91</v>
      </c>
      <c r="D7" t="s">
        <v>30</v>
      </c>
      <c r="F7" t="s">
        <v>79</v>
      </c>
      <c r="G7" s="25">
        <v>0.20486111111111113</v>
      </c>
      <c r="H7" s="25">
        <v>0.25</v>
      </c>
      <c r="I7" s="70">
        <v>41845</v>
      </c>
      <c r="J7" s="70">
        <v>41845</v>
      </c>
      <c r="K7" s="25">
        <v>4.3715277777777777E-2</v>
      </c>
      <c r="L7" t="s">
        <v>92</v>
      </c>
      <c r="M7" t="s">
        <v>93</v>
      </c>
      <c r="N7" t="s">
        <v>94</v>
      </c>
      <c r="O7">
        <v>0</v>
      </c>
      <c r="P7">
        <v>0</v>
      </c>
      <c r="Q7">
        <v>0</v>
      </c>
      <c r="R7">
        <v>2014</v>
      </c>
    </row>
    <row r="8" spans="1:25" customFormat="1">
      <c r="A8">
        <v>459</v>
      </c>
      <c r="B8" t="s">
        <v>95</v>
      </c>
      <c r="C8" t="s">
        <v>96</v>
      </c>
      <c r="D8">
        <v>2012</v>
      </c>
      <c r="F8" t="s">
        <v>97</v>
      </c>
      <c r="G8" s="25">
        <v>0.25</v>
      </c>
      <c r="H8" s="25">
        <v>0.27430555555555552</v>
      </c>
      <c r="I8" s="70">
        <v>41845</v>
      </c>
      <c r="J8" s="70">
        <v>41845</v>
      </c>
      <c r="K8" s="25">
        <v>2.3287037037037037E-2</v>
      </c>
      <c r="N8" t="s">
        <v>98</v>
      </c>
      <c r="O8">
        <v>0</v>
      </c>
      <c r="P8">
        <v>1</v>
      </c>
      <c r="Q8">
        <v>0</v>
      </c>
      <c r="R8">
        <v>2012</v>
      </c>
    </row>
    <row r="9" spans="1:25" customFormat="1">
      <c r="A9">
        <v>468</v>
      </c>
      <c r="B9" t="s">
        <v>99</v>
      </c>
      <c r="C9" t="s">
        <v>100</v>
      </c>
      <c r="D9">
        <v>2010</v>
      </c>
      <c r="F9" t="s">
        <v>101</v>
      </c>
      <c r="G9" s="25">
        <v>0.27083333333333331</v>
      </c>
      <c r="H9" s="25">
        <v>0.29166666666666669</v>
      </c>
      <c r="I9" s="70">
        <v>41845</v>
      </c>
      <c r="J9" s="70">
        <v>41845</v>
      </c>
      <c r="K9" s="25">
        <v>1.7719907407407406E-2</v>
      </c>
      <c r="N9" t="s">
        <v>102</v>
      </c>
      <c r="O9">
        <v>0</v>
      </c>
      <c r="P9">
        <v>1</v>
      </c>
      <c r="Q9">
        <v>0</v>
      </c>
      <c r="R9">
        <v>2010</v>
      </c>
    </row>
    <row r="10" spans="1:25" customFormat="1">
      <c r="A10">
        <v>511</v>
      </c>
      <c r="B10" t="s">
        <v>103</v>
      </c>
      <c r="C10" t="s">
        <v>104</v>
      </c>
      <c r="D10">
        <v>2008</v>
      </c>
      <c r="F10" t="s">
        <v>105</v>
      </c>
      <c r="G10" s="25">
        <v>0.29166666666666669</v>
      </c>
      <c r="H10" s="25">
        <v>0.3125</v>
      </c>
      <c r="I10" s="70">
        <v>41845</v>
      </c>
      <c r="J10" s="70">
        <v>41845</v>
      </c>
      <c r="K10" s="25">
        <v>1.8877314814814816E-2</v>
      </c>
      <c r="N10" t="s">
        <v>106</v>
      </c>
      <c r="O10">
        <v>0</v>
      </c>
      <c r="P10">
        <v>0</v>
      </c>
      <c r="Q10">
        <v>0</v>
      </c>
      <c r="R10">
        <v>2008</v>
      </c>
    </row>
    <row r="11" spans="1:25" customFormat="1">
      <c r="A11">
        <v>512</v>
      </c>
      <c r="B11" t="s">
        <v>107</v>
      </c>
      <c r="C11" t="s">
        <v>108</v>
      </c>
      <c r="D11">
        <v>2009</v>
      </c>
      <c r="F11" t="s">
        <v>105</v>
      </c>
      <c r="G11" s="25">
        <v>0.3125</v>
      </c>
      <c r="H11" s="25">
        <v>0.32291666666666669</v>
      </c>
      <c r="I11" s="70">
        <v>41845</v>
      </c>
      <c r="J11" s="70">
        <v>41845</v>
      </c>
      <c r="K11" s="25">
        <v>1.1620370370370371E-2</v>
      </c>
      <c r="N11" t="s">
        <v>109</v>
      </c>
      <c r="O11">
        <v>0</v>
      </c>
      <c r="P11">
        <v>0</v>
      </c>
      <c r="Q11">
        <v>0</v>
      </c>
      <c r="R11">
        <v>2009</v>
      </c>
    </row>
    <row r="12" spans="1:25" customFormat="1">
      <c r="A12">
        <v>513</v>
      </c>
      <c r="B12" t="s">
        <v>110</v>
      </c>
      <c r="C12" t="s">
        <v>111</v>
      </c>
      <c r="D12">
        <v>2008</v>
      </c>
      <c r="F12" t="s">
        <v>105</v>
      </c>
      <c r="G12" s="25">
        <v>0.32291666666666669</v>
      </c>
      <c r="H12" s="25">
        <v>0.33333333333333331</v>
      </c>
      <c r="I12" s="70">
        <v>41845</v>
      </c>
      <c r="J12" s="70">
        <v>41845</v>
      </c>
      <c r="K12" s="25">
        <v>9.9884259259259266E-3</v>
      </c>
      <c r="N12" t="s">
        <v>112</v>
      </c>
      <c r="O12">
        <v>0</v>
      </c>
      <c r="P12">
        <v>0</v>
      </c>
      <c r="Q12">
        <v>0</v>
      </c>
      <c r="R12">
        <v>2008</v>
      </c>
    </row>
    <row r="13" spans="1:25" customFormat="1">
      <c r="A13">
        <v>481</v>
      </c>
      <c r="B13" t="s">
        <v>113</v>
      </c>
      <c r="C13" t="s">
        <v>114</v>
      </c>
      <c r="D13">
        <v>2006</v>
      </c>
      <c r="F13" t="s">
        <v>115</v>
      </c>
      <c r="G13" s="25">
        <v>0.33333333333333331</v>
      </c>
      <c r="H13" s="25">
        <v>0.375</v>
      </c>
      <c r="I13" s="70">
        <v>41845</v>
      </c>
      <c r="J13" s="70">
        <v>41845</v>
      </c>
      <c r="K13" s="25">
        <v>4.1388888888888892E-2</v>
      </c>
      <c r="N13" t="s">
        <v>116</v>
      </c>
      <c r="O13">
        <v>0</v>
      </c>
      <c r="P13">
        <v>0</v>
      </c>
      <c r="Q13">
        <v>0</v>
      </c>
      <c r="R13">
        <v>2006</v>
      </c>
    </row>
    <row r="14" spans="1:25" customFormat="1">
      <c r="A14">
        <v>947</v>
      </c>
      <c r="B14" t="s">
        <v>77</v>
      </c>
      <c r="C14" t="s">
        <v>78</v>
      </c>
      <c r="D14" t="s">
        <v>31</v>
      </c>
      <c r="F14" t="s">
        <v>79</v>
      </c>
      <c r="G14" s="25">
        <v>0.375</v>
      </c>
      <c r="H14" s="25">
        <v>0.38541666666666669</v>
      </c>
      <c r="I14" s="70">
        <v>41845</v>
      </c>
      <c r="J14" s="70">
        <v>41845</v>
      </c>
      <c r="K14" s="25">
        <v>9.6643518518518511E-3</v>
      </c>
      <c r="M14" t="s">
        <v>80</v>
      </c>
      <c r="O14">
        <v>0</v>
      </c>
      <c r="P14">
        <v>0</v>
      </c>
      <c r="Q14">
        <v>0</v>
      </c>
      <c r="R14">
        <v>2014</v>
      </c>
    </row>
    <row r="15" spans="1:25" customFormat="1">
      <c r="A15">
        <v>948</v>
      </c>
      <c r="B15" t="s">
        <v>87</v>
      </c>
      <c r="C15" t="s">
        <v>88</v>
      </c>
      <c r="D15" t="s">
        <v>30</v>
      </c>
      <c r="F15" t="s">
        <v>83</v>
      </c>
      <c r="G15" s="25">
        <v>0.38541666666666669</v>
      </c>
      <c r="H15" s="25">
        <v>0.47916666666666669</v>
      </c>
      <c r="I15" s="70">
        <v>41845</v>
      </c>
      <c r="J15" s="70">
        <v>41845</v>
      </c>
      <c r="K15" s="25">
        <v>9.1701388888888888E-2</v>
      </c>
      <c r="L15" t="s">
        <v>89</v>
      </c>
      <c r="M15" t="s">
        <v>80</v>
      </c>
      <c r="O15">
        <v>0</v>
      </c>
      <c r="P15">
        <v>0</v>
      </c>
      <c r="Q15">
        <v>0</v>
      </c>
      <c r="R15">
        <v>2014</v>
      </c>
    </row>
    <row r="16" spans="1:25" customFormat="1">
      <c r="A16">
        <v>949</v>
      </c>
      <c r="B16" t="s">
        <v>117</v>
      </c>
      <c r="C16" t="s">
        <v>118</v>
      </c>
      <c r="D16" t="s">
        <v>29</v>
      </c>
      <c r="F16" t="s">
        <v>79</v>
      </c>
      <c r="G16" s="25">
        <v>0.47916666666666669</v>
      </c>
      <c r="H16" s="25">
        <v>0.53125</v>
      </c>
      <c r="I16" s="70">
        <v>41845</v>
      </c>
      <c r="J16" s="70">
        <v>41845</v>
      </c>
      <c r="K16" s="25">
        <v>5.2175925925925924E-2</v>
      </c>
      <c r="M16" t="s">
        <v>119</v>
      </c>
      <c r="N16" t="s">
        <v>120</v>
      </c>
      <c r="O16">
        <v>0</v>
      </c>
      <c r="P16">
        <v>0</v>
      </c>
      <c r="Q16">
        <v>0</v>
      </c>
      <c r="R16">
        <v>2014</v>
      </c>
    </row>
    <row r="17" spans="1:18" customFormat="1">
      <c r="A17">
        <v>953</v>
      </c>
      <c r="B17" t="s">
        <v>121</v>
      </c>
      <c r="C17" t="s">
        <v>122</v>
      </c>
      <c r="D17" t="s">
        <v>123</v>
      </c>
      <c r="F17" t="s">
        <v>83</v>
      </c>
      <c r="G17" s="25">
        <v>0.53125</v>
      </c>
      <c r="H17" s="25">
        <v>0.59375</v>
      </c>
      <c r="I17" s="70">
        <v>41845</v>
      </c>
      <c r="J17" s="70">
        <v>41845</v>
      </c>
      <c r="K17" s="25">
        <v>6.0879629629629638E-2</v>
      </c>
      <c r="L17" t="s">
        <v>84</v>
      </c>
      <c r="M17" t="s">
        <v>124</v>
      </c>
      <c r="N17" t="s">
        <v>125</v>
      </c>
      <c r="O17">
        <v>0</v>
      </c>
      <c r="P17">
        <v>0</v>
      </c>
      <c r="Q17">
        <v>0</v>
      </c>
      <c r="R17">
        <v>2014</v>
      </c>
    </row>
    <row r="18" spans="1:18" customFormat="1">
      <c r="A18">
        <v>951</v>
      </c>
      <c r="B18" t="s">
        <v>81</v>
      </c>
      <c r="C18" t="s">
        <v>82</v>
      </c>
      <c r="D18" t="s">
        <v>29</v>
      </c>
      <c r="F18" t="s">
        <v>83</v>
      </c>
      <c r="G18" s="25">
        <v>0.59375</v>
      </c>
      <c r="H18" s="25">
        <v>0.6875</v>
      </c>
      <c r="I18" s="70">
        <v>41845</v>
      </c>
      <c r="J18" s="70">
        <v>41845</v>
      </c>
      <c r="K18" s="25">
        <v>9.3541666666666676E-2</v>
      </c>
      <c r="L18" t="s">
        <v>84</v>
      </c>
      <c r="M18" t="s">
        <v>85</v>
      </c>
      <c r="N18" t="s">
        <v>86</v>
      </c>
      <c r="O18">
        <v>0</v>
      </c>
      <c r="P18">
        <v>0</v>
      </c>
      <c r="Q18">
        <v>0</v>
      </c>
      <c r="R18">
        <v>2014</v>
      </c>
    </row>
    <row r="19" spans="1:18" customFormat="1">
      <c r="A19">
        <v>964</v>
      </c>
      <c r="B19" t="s">
        <v>126</v>
      </c>
      <c r="C19" t="s">
        <v>127</v>
      </c>
      <c r="D19" t="s">
        <v>31</v>
      </c>
      <c r="F19" t="s">
        <v>128</v>
      </c>
      <c r="G19" s="25">
        <v>0.6875</v>
      </c>
      <c r="H19" s="25">
        <v>0.71875</v>
      </c>
      <c r="I19" s="70">
        <v>41845</v>
      </c>
      <c r="J19" s="70">
        <v>41845</v>
      </c>
      <c r="K19" s="25">
        <v>2.8703703703703703E-2</v>
      </c>
      <c r="M19" t="s">
        <v>129</v>
      </c>
      <c r="N19" t="s">
        <v>130</v>
      </c>
      <c r="O19">
        <v>0</v>
      </c>
      <c r="P19">
        <v>0</v>
      </c>
      <c r="Q19">
        <v>1</v>
      </c>
      <c r="R19">
        <v>2014</v>
      </c>
    </row>
    <row r="20" spans="1:18" customFormat="1">
      <c r="A20">
        <v>963</v>
      </c>
      <c r="B20" t="s">
        <v>77</v>
      </c>
      <c r="C20" t="s">
        <v>78</v>
      </c>
      <c r="D20" t="s">
        <v>31</v>
      </c>
      <c r="F20" t="s">
        <v>79</v>
      </c>
      <c r="G20" s="25">
        <v>0.71875</v>
      </c>
      <c r="H20" s="25">
        <v>0.72916666666666663</v>
      </c>
      <c r="I20" s="70">
        <v>41845</v>
      </c>
      <c r="J20" s="70">
        <v>41845</v>
      </c>
      <c r="K20" s="25">
        <v>9.6643518518518511E-3</v>
      </c>
      <c r="M20" t="s">
        <v>80</v>
      </c>
      <c r="O20">
        <v>0</v>
      </c>
      <c r="P20">
        <v>0</v>
      </c>
      <c r="Q20">
        <v>0</v>
      </c>
      <c r="R20">
        <v>2014</v>
      </c>
    </row>
    <row r="21" spans="1:18" customFormat="1">
      <c r="A21">
        <v>952</v>
      </c>
      <c r="B21" t="s">
        <v>131</v>
      </c>
      <c r="C21" t="s">
        <v>132</v>
      </c>
      <c r="D21" t="s">
        <v>29</v>
      </c>
      <c r="F21" t="s">
        <v>76</v>
      </c>
      <c r="G21" s="25">
        <v>0.72916666666666663</v>
      </c>
      <c r="H21" s="25">
        <v>0.73958333333333337</v>
      </c>
      <c r="I21" s="70">
        <v>41845</v>
      </c>
      <c r="J21" s="70">
        <v>41845</v>
      </c>
      <c r="K21" s="25">
        <v>8.726851851851852E-3</v>
      </c>
      <c r="M21" t="s">
        <v>133</v>
      </c>
      <c r="N21" t="s">
        <v>134</v>
      </c>
      <c r="O21">
        <v>0</v>
      </c>
      <c r="P21">
        <v>0</v>
      </c>
      <c r="Q21">
        <v>0</v>
      </c>
      <c r="R21">
        <v>2014</v>
      </c>
    </row>
    <row r="22" spans="1:18" customFormat="1">
      <c r="A22">
        <v>535</v>
      </c>
      <c r="B22" t="s">
        <v>135</v>
      </c>
      <c r="C22" t="s">
        <v>136</v>
      </c>
      <c r="D22" t="s">
        <v>37</v>
      </c>
      <c r="F22" t="s">
        <v>135</v>
      </c>
      <c r="G22" s="25">
        <v>0.73958333333333337</v>
      </c>
      <c r="H22" s="25">
        <v>0.75</v>
      </c>
      <c r="I22" s="70">
        <v>41845</v>
      </c>
      <c r="J22" s="70">
        <v>41845</v>
      </c>
      <c r="K22" s="25">
        <v>9.7222222222222224E-3</v>
      </c>
      <c r="L22" t="s">
        <v>137</v>
      </c>
      <c r="M22" t="s">
        <v>138</v>
      </c>
      <c r="N22" t="s">
        <v>139</v>
      </c>
      <c r="O22">
        <v>0</v>
      </c>
      <c r="P22">
        <v>1</v>
      </c>
      <c r="Q22">
        <v>1</v>
      </c>
      <c r="R22">
        <v>2014</v>
      </c>
    </row>
    <row r="23" spans="1:18" customFormat="1">
      <c r="A23">
        <v>514</v>
      </c>
      <c r="B23" t="s">
        <v>103</v>
      </c>
      <c r="C23" t="s">
        <v>104</v>
      </c>
      <c r="D23">
        <v>2008</v>
      </c>
      <c r="F23" t="s">
        <v>105</v>
      </c>
      <c r="G23" s="25">
        <v>0.75</v>
      </c>
      <c r="H23" s="25">
        <v>0.77083333333333337</v>
      </c>
      <c r="I23" s="70">
        <v>41845</v>
      </c>
      <c r="J23" s="70">
        <v>41845</v>
      </c>
      <c r="K23" s="25">
        <v>1.8877314814814816E-2</v>
      </c>
      <c r="N23" t="s">
        <v>106</v>
      </c>
      <c r="O23">
        <v>0</v>
      </c>
      <c r="P23">
        <v>0</v>
      </c>
      <c r="Q23">
        <v>0</v>
      </c>
      <c r="R23">
        <v>2008</v>
      </c>
    </row>
    <row r="24" spans="1:18" customFormat="1">
      <c r="A24">
        <v>515</v>
      </c>
      <c r="B24" t="s">
        <v>107</v>
      </c>
      <c r="C24" t="s">
        <v>108</v>
      </c>
      <c r="D24">
        <v>2009</v>
      </c>
      <c r="F24" t="s">
        <v>105</v>
      </c>
      <c r="G24" s="25">
        <v>0.77083333333333337</v>
      </c>
      <c r="H24" s="25">
        <v>0.78125</v>
      </c>
      <c r="I24" s="70">
        <v>41845</v>
      </c>
      <c r="J24" s="70">
        <v>41845</v>
      </c>
      <c r="K24" s="25">
        <v>1.1620370370370371E-2</v>
      </c>
      <c r="N24" t="s">
        <v>109</v>
      </c>
      <c r="O24">
        <v>0</v>
      </c>
      <c r="P24">
        <v>0</v>
      </c>
      <c r="Q24">
        <v>0</v>
      </c>
      <c r="R24">
        <v>2009</v>
      </c>
    </row>
    <row r="25" spans="1:18" customFormat="1">
      <c r="A25">
        <v>517</v>
      </c>
      <c r="B25" t="s">
        <v>110</v>
      </c>
      <c r="C25" t="s">
        <v>111</v>
      </c>
      <c r="D25">
        <v>2008</v>
      </c>
      <c r="F25" t="s">
        <v>105</v>
      </c>
      <c r="G25" s="25">
        <v>0.78125</v>
      </c>
      <c r="H25" s="25">
        <v>0.79166666666666663</v>
      </c>
      <c r="I25" s="70">
        <v>41845</v>
      </c>
      <c r="J25" s="70">
        <v>41845</v>
      </c>
      <c r="K25" s="25">
        <v>9.9884259259259266E-3</v>
      </c>
      <c r="N25" t="s">
        <v>112</v>
      </c>
      <c r="O25">
        <v>0</v>
      </c>
      <c r="P25">
        <v>0</v>
      </c>
      <c r="Q25">
        <v>0</v>
      </c>
      <c r="R25">
        <v>2008</v>
      </c>
    </row>
    <row r="26" spans="1:18" customFormat="1">
      <c r="A26">
        <v>643</v>
      </c>
      <c r="B26" t="s">
        <v>140</v>
      </c>
      <c r="C26" t="s">
        <v>141</v>
      </c>
      <c r="D26" t="s">
        <v>37</v>
      </c>
      <c r="F26" t="s">
        <v>79</v>
      </c>
      <c r="G26" s="25">
        <v>0.79166666666666663</v>
      </c>
      <c r="H26" s="25">
        <v>0.88541666666666663</v>
      </c>
      <c r="I26" s="70">
        <v>41845</v>
      </c>
      <c r="J26" s="70">
        <v>41845</v>
      </c>
      <c r="K26" s="25">
        <v>9.375E-2</v>
      </c>
      <c r="M26" t="s">
        <v>142</v>
      </c>
      <c r="N26" t="s">
        <v>143</v>
      </c>
      <c r="O26">
        <v>0</v>
      </c>
      <c r="P26">
        <v>0</v>
      </c>
      <c r="Q26">
        <v>1</v>
      </c>
      <c r="R26">
        <v>2014</v>
      </c>
    </row>
    <row r="27" spans="1:18" customFormat="1">
      <c r="A27">
        <v>965</v>
      </c>
      <c r="B27" t="s">
        <v>117</v>
      </c>
      <c r="C27" t="s">
        <v>118</v>
      </c>
      <c r="D27" t="s">
        <v>29</v>
      </c>
      <c r="F27" t="s">
        <v>79</v>
      </c>
      <c r="G27" s="25">
        <v>0.88541666666666663</v>
      </c>
      <c r="H27" s="25">
        <v>0.9375</v>
      </c>
      <c r="I27" s="70">
        <v>41845</v>
      </c>
      <c r="J27" s="70">
        <v>41845</v>
      </c>
      <c r="K27" s="25">
        <v>5.2175925925925924E-2</v>
      </c>
      <c r="M27" t="s">
        <v>119</v>
      </c>
      <c r="N27" t="s">
        <v>120</v>
      </c>
      <c r="O27">
        <v>0</v>
      </c>
      <c r="P27">
        <v>0</v>
      </c>
      <c r="Q27">
        <v>0</v>
      </c>
      <c r="R27">
        <v>2014</v>
      </c>
    </row>
    <row r="28" spans="1:18" customFormat="1">
      <c r="A28">
        <v>960</v>
      </c>
      <c r="B28" t="s">
        <v>144</v>
      </c>
      <c r="C28" t="s">
        <v>145</v>
      </c>
      <c r="D28">
        <v>2014</v>
      </c>
      <c r="F28" t="s">
        <v>97</v>
      </c>
      <c r="G28" s="25">
        <v>0.9375</v>
      </c>
      <c r="H28" s="25">
        <v>0.95833333333333337</v>
      </c>
      <c r="I28" s="70">
        <v>41845</v>
      </c>
      <c r="J28" s="70">
        <v>41845</v>
      </c>
      <c r="K28" s="25">
        <v>2.0601851851851854E-2</v>
      </c>
      <c r="N28" t="s">
        <v>146</v>
      </c>
      <c r="O28">
        <v>0</v>
      </c>
      <c r="P28">
        <v>1</v>
      </c>
      <c r="Q28">
        <v>0</v>
      </c>
      <c r="R28">
        <v>2014</v>
      </c>
    </row>
    <row r="29" spans="1:18" customFormat="1">
      <c r="A29">
        <v>961</v>
      </c>
      <c r="B29" t="s">
        <v>147</v>
      </c>
      <c r="C29" t="s">
        <v>148</v>
      </c>
      <c r="D29">
        <v>2014</v>
      </c>
      <c r="F29" t="s">
        <v>97</v>
      </c>
      <c r="G29" s="25">
        <v>0.95833333333333337</v>
      </c>
      <c r="H29" s="25">
        <v>0.97916666666666663</v>
      </c>
      <c r="I29" s="70">
        <v>41845</v>
      </c>
      <c r="J29" s="70">
        <v>41845</v>
      </c>
      <c r="K29" s="25">
        <v>1.9791666666666666E-2</v>
      </c>
      <c r="M29" t="s">
        <v>149</v>
      </c>
      <c r="O29">
        <v>0</v>
      </c>
      <c r="P29">
        <v>1</v>
      </c>
      <c r="Q29">
        <v>0</v>
      </c>
      <c r="R29">
        <v>2014</v>
      </c>
    </row>
    <row r="30" spans="1:18" customFormat="1">
      <c r="A30">
        <v>962</v>
      </c>
      <c r="B30" t="s">
        <v>150</v>
      </c>
      <c r="C30" t="s">
        <v>151</v>
      </c>
      <c r="D30">
        <v>2014</v>
      </c>
      <c r="F30" t="s">
        <v>97</v>
      </c>
      <c r="G30" s="25">
        <v>0.97916666666666663</v>
      </c>
      <c r="H30" s="25">
        <v>0</v>
      </c>
      <c r="I30" s="70">
        <v>41845</v>
      </c>
      <c r="J30" s="70">
        <v>41845</v>
      </c>
      <c r="K30" s="25">
        <v>1.9849537037037037E-2</v>
      </c>
      <c r="O30">
        <v>0</v>
      </c>
      <c r="P30">
        <v>1</v>
      </c>
      <c r="Q30">
        <v>0</v>
      </c>
      <c r="R30">
        <v>2014</v>
      </c>
    </row>
    <row r="31" spans="1:18" s="94" customFormat="1">
      <c r="E31" s="95"/>
      <c r="F31" s="95"/>
    </row>
    <row r="32" spans="1:18" s="94" customFormat="1">
      <c r="E32" s="95"/>
      <c r="F32" s="95"/>
    </row>
    <row r="33" spans="5:15" customFormat="1">
      <c r="E33" s="24"/>
      <c r="F33" s="24"/>
    </row>
    <row r="34" spans="5:15" customFormat="1">
      <c r="E34" s="24"/>
      <c r="F34" s="24"/>
      <c r="O34" s="25"/>
    </row>
    <row r="35" spans="5:15" customFormat="1">
      <c r="E35" s="24"/>
      <c r="F35" s="24"/>
      <c r="O35" s="25"/>
    </row>
    <row r="36" spans="5:15" customFormat="1">
      <c r="E36" s="24"/>
      <c r="F36" s="24"/>
    </row>
    <row r="37" spans="5:15" customFormat="1">
      <c r="E37" s="24"/>
      <c r="F37" s="24"/>
    </row>
    <row r="38" spans="5:15" customFormat="1">
      <c r="E38" s="24"/>
      <c r="F38" s="24"/>
      <c r="O38" s="25"/>
    </row>
    <row r="39" spans="5:15" customFormat="1">
      <c r="E39" s="24"/>
      <c r="F39" s="24"/>
    </row>
    <row r="40" spans="5:15" customFormat="1">
      <c r="E40" s="24"/>
      <c r="F40" s="24"/>
      <c r="O40" s="25"/>
    </row>
    <row r="41" spans="5:15" customFormat="1">
      <c r="E41" s="24"/>
      <c r="F41" s="24"/>
      <c r="O41" s="25"/>
    </row>
    <row r="42" spans="5:15" customFormat="1">
      <c r="E42" s="24"/>
      <c r="F42" s="24"/>
      <c r="O42" s="25"/>
    </row>
    <row r="43" spans="5:15" customFormat="1">
      <c r="E43" s="24"/>
      <c r="F43" s="24"/>
    </row>
    <row r="44" spans="5:15" customFormat="1">
      <c r="E44" s="24"/>
      <c r="F44" s="24"/>
      <c r="O44" s="25"/>
    </row>
    <row r="45" spans="5:15" customFormat="1">
      <c r="E45" s="24"/>
      <c r="F45" s="24"/>
      <c r="O45" s="25"/>
    </row>
    <row r="46" spans="5:15" customFormat="1">
      <c r="E46" s="24"/>
      <c r="F46" s="24"/>
      <c r="O46" s="25"/>
    </row>
    <row r="47" spans="5:15" customFormat="1">
      <c r="E47" s="24"/>
      <c r="F47" s="24"/>
      <c r="O47" s="25"/>
    </row>
    <row r="48" spans="5:15" customFormat="1">
      <c r="E48" s="24"/>
      <c r="F48" s="24"/>
      <c r="O48" s="25"/>
    </row>
    <row r="49" spans="5:15" customFormat="1">
      <c r="E49" s="24"/>
      <c r="F49" s="24"/>
      <c r="O49" s="25"/>
    </row>
    <row r="50" spans="5:15" customFormat="1">
      <c r="E50" s="24"/>
      <c r="F50" s="24"/>
      <c r="O50" s="25"/>
    </row>
    <row r="51" spans="5:15" customFormat="1">
      <c r="E51" s="24"/>
      <c r="F51" s="24"/>
    </row>
    <row r="52" spans="5:15" customFormat="1">
      <c r="E52" s="24"/>
      <c r="F52" s="24"/>
      <c r="O52" s="25"/>
    </row>
    <row r="53" spans="5:15" customFormat="1">
      <c r="E53" s="24"/>
      <c r="F53" s="24"/>
      <c r="O53" s="25"/>
    </row>
    <row r="54" spans="5:15" customFormat="1">
      <c r="E54" s="24"/>
      <c r="F54" s="24"/>
    </row>
    <row r="55" spans="5:15" customFormat="1">
      <c r="E55" s="24"/>
      <c r="F55" s="24"/>
    </row>
    <row r="56" spans="5:15" customFormat="1">
      <c r="E56" s="24"/>
      <c r="F56" s="24"/>
      <c r="O56" s="25"/>
    </row>
    <row r="57" spans="5:15" customFormat="1">
      <c r="E57" s="24"/>
      <c r="F57" s="24"/>
    </row>
    <row r="58" spans="5:15" customFormat="1">
      <c r="E58" s="24"/>
      <c r="F58" s="24"/>
      <c r="O58" s="25"/>
    </row>
    <row r="59" spans="5:15" customFormat="1">
      <c r="E59" s="24"/>
      <c r="F59" s="24"/>
      <c r="O59" s="25"/>
    </row>
    <row r="60" spans="5:15" customFormat="1">
      <c r="E60" s="24"/>
      <c r="F60" s="24"/>
      <c r="O60" s="25"/>
    </row>
    <row r="61" spans="5:15" customFormat="1">
      <c r="E61" s="24"/>
      <c r="F61" s="24"/>
    </row>
    <row r="62" spans="5:15" customFormat="1">
      <c r="E62" s="24"/>
      <c r="F62" s="24"/>
      <c r="O62" s="25"/>
    </row>
    <row r="63" spans="5:15" customFormat="1">
      <c r="E63" s="24"/>
      <c r="F63" s="24"/>
      <c r="O63" s="25"/>
    </row>
    <row r="64" spans="5:15" customFormat="1">
      <c r="E64" s="24"/>
      <c r="F64" s="24"/>
      <c r="O64" s="25"/>
    </row>
    <row r="65" spans="5:15" customFormat="1">
      <c r="E65" s="24"/>
      <c r="F65" s="24"/>
      <c r="O65" s="25"/>
    </row>
    <row r="66" spans="5:15" customFormat="1">
      <c r="E66" s="24"/>
      <c r="F66" s="24"/>
      <c r="O66" s="25"/>
    </row>
    <row r="67" spans="5:15" customFormat="1">
      <c r="E67" s="24"/>
      <c r="F67" s="24"/>
      <c r="O67" s="25"/>
    </row>
    <row r="68" spans="5:15" customFormat="1">
      <c r="E68" s="24"/>
      <c r="F68" s="24"/>
      <c r="O68" s="25"/>
    </row>
    <row r="69" spans="5:15" customFormat="1">
      <c r="E69" s="24"/>
      <c r="F69" s="24"/>
    </row>
    <row r="70" spans="5:15" customFormat="1">
      <c r="E70" s="24"/>
      <c r="F70" s="24"/>
      <c r="O70" s="25"/>
    </row>
    <row r="71" spans="5:15" customFormat="1">
      <c r="E71" s="24"/>
      <c r="F71" s="24"/>
      <c r="O71" s="25"/>
    </row>
    <row r="72" spans="5:15" customFormat="1">
      <c r="E72" s="24"/>
      <c r="F72" s="24"/>
    </row>
    <row r="73" spans="5:15" customFormat="1">
      <c r="E73" s="24"/>
      <c r="F73" s="24"/>
    </row>
    <row r="74" spans="5:15" customFormat="1">
      <c r="E74" s="24"/>
      <c r="F74" s="24"/>
      <c r="O74" s="25"/>
    </row>
    <row r="75" spans="5:15" customFormat="1">
      <c r="E75" s="24"/>
      <c r="F75" s="24"/>
    </row>
    <row r="76" spans="5:15" customFormat="1">
      <c r="E76" s="24"/>
      <c r="F76" s="24"/>
      <c r="O76" s="25"/>
    </row>
    <row r="77" spans="5:15" customFormat="1">
      <c r="E77" s="24"/>
      <c r="F77" s="24"/>
      <c r="O77" s="25"/>
    </row>
    <row r="78" spans="5:15" customFormat="1">
      <c r="E78" s="24"/>
      <c r="F78" s="24"/>
      <c r="O78" s="25"/>
    </row>
    <row r="79" spans="5:15" customFormat="1">
      <c r="E79" s="24"/>
      <c r="F79" s="24"/>
    </row>
    <row r="80" spans="5:15" customFormat="1">
      <c r="E80" s="24"/>
      <c r="F80" s="24"/>
      <c r="O80" s="25"/>
    </row>
    <row r="81" spans="5:15" customFormat="1">
      <c r="E81" s="24"/>
      <c r="F81" s="24"/>
      <c r="O81" s="25"/>
    </row>
    <row r="82" spans="5:15" customFormat="1">
      <c r="E82" s="24"/>
      <c r="F82" s="24"/>
      <c r="O82" s="25"/>
    </row>
    <row r="83" spans="5:15" customFormat="1">
      <c r="E83" s="24"/>
      <c r="F83" s="24"/>
      <c r="O83" s="25"/>
    </row>
    <row r="84" spans="5:15" customFormat="1">
      <c r="E84" s="24"/>
      <c r="F84" s="24"/>
      <c r="O84" s="25"/>
    </row>
    <row r="85" spans="5:15" customFormat="1">
      <c r="E85" s="24"/>
      <c r="F85" s="24"/>
      <c r="O85" s="25"/>
    </row>
    <row r="86" spans="5:15" customFormat="1">
      <c r="E86" s="24"/>
      <c r="F86" s="24"/>
      <c r="O86" s="25"/>
    </row>
    <row r="87" spans="5:15" customFormat="1">
      <c r="E87" s="24"/>
      <c r="F87" s="24"/>
    </row>
    <row r="88" spans="5:15" customFormat="1">
      <c r="E88" s="24"/>
      <c r="F88" s="24"/>
      <c r="O88" s="25"/>
    </row>
    <row r="89" spans="5:15" customFormat="1">
      <c r="E89" s="24"/>
      <c r="F89" s="24"/>
      <c r="O89" s="25"/>
    </row>
    <row r="90" spans="5:15" customFormat="1">
      <c r="E90" s="24"/>
      <c r="F90" s="24"/>
    </row>
    <row r="91" spans="5:15" customFormat="1">
      <c r="E91" s="24"/>
      <c r="F91" s="24"/>
    </row>
    <row r="92" spans="5:15" customFormat="1">
      <c r="E92" s="24"/>
      <c r="F92" s="24"/>
      <c r="O92" s="25"/>
    </row>
    <row r="93" spans="5:15" customFormat="1">
      <c r="E93" s="24"/>
      <c r="F93" s="24"/>
      <c r="O93" s="25"/>
    </row>
    <row r="94" spans="5:15" customFormat="1">
      <c r="E94" s="24"/>
      <c r="F94" s="24"/>
      <c r="O94" s="25"/>
    </row>
    <row r="95" spans="5:15" customFormat="1">
      <c r="E95" s="24"/>
      <c r="F95" s="24"/>
      <c r="O95" s="25"/>
    </row>
    <row r="96" spans="5:15" customFormat="1">
      <c r="E96" s="24"/>
      <c r="F96" s="24"/>
      <c r="O96" s="25"/>
    </row>
    <row r="97" spans="5:15" customFormat="1">
      <c r="E97" s="24"/>
      <c r="F97" s="24"/>
      <c r="O97" s="25"/>
    </row>
    <row r="98" spans="5:15" customFormat="1">
      <c r="E98" s="24"/>
      <c r="F98" s="24"/>
      <c r="O98" s="25"/>
    </row>
    <row r="99" spans="5:15" customFormat="1">
      <c r="E99" s="24"/>
      <c r="F99" s="24"/>
      <c r="O99" s="25"/>
    </row>
    <row r="100" spans="5:15" customFormat="1">
      <c r="E100" s="24"/>
      <c r="F100" s="24"/>
      <c r="O100" s="25"/>
    </row>
    <row r="101" spans="5:15" customFormat="1">
      <c r="E101" s="24"/>
      <c r="F101" s="24"/>
      <c r="O101" s="25"/>
    </row>
    <row r="102" spans="5:15" customFormat="1">
      <c r="E102" s="24"/>
      <c r="F102" s="24"/>
      <c r="O102" s="25"/>
    </row>
    <row r="103" spans="5:15" customFormat="1">
      <c r="E103" s="24"/>
      <c r="F103" s="24"/>
      <c r="O103" s="25"/>
    </row>
    <row r="104" spans="5:15" customFormat="1">
      <c r="E104" s="24"/>
      <c r="F104" s="24"/>
      <c r="O104" s="25"/>
    </row>
    <row r="105" spans="5:15" customFormat="1">
      <c r="E105" s="24"/>
      <c r="F105" s="24"/>
      <c r="O105" s="25"/>
    </row>
    <row r="106" spans="5:15" customFormat="1">
      <c r="E106" s="24"/>
      <c r="F106" s="24"/>
      <c r="O106" s="25"/>
    </row>
    <row r="107" spans="5:15" customFormat="1">
      <c r="E107" s="24"/>
      <c r="F107" s="24"/>
      <c r="O107" s="25"/>
    </row>
    <row r="108" spans="5:15" customFormat="1">
      <c r="E108" s="24"/>
      <c r="F108" s="24"/>
      <c r="O108" s="25"/>
    </row>
    <row r="109" spans="5:15" customFormat="1">
      <c r="E109" s="24"/>
      <c r="F109" s="24"/>
      <c r="O109" s="25"/>
    </row>
    <row r="110" spans="5:15" customFormat="1">
      <c r="E110" s="24"/>
      <c r="F110" s="24"/>
    </row>
    <row r="111" spans="5:15" customFormat="1">
      <c r="E111" s="24"/>
      <c r="F111" s="24"/>
      <c r="O111" s="25"/>
    </row>
    <row r="112" spans="5:15" customFormat="1">
      <c r="E112" s="24"/>
      <c r="F112" s="24"/>
      <c r="O112" s="25"/>
    </row>
    <row r="113" spans="5:15" customFormat="1">
      <c r="E113" s="24"/>
      <c r="F113" s="24"/>
      <c r="O113" s="25"/>
    </row>
    <row r="114" spans="5:15" customFormat="1">
      <c r="E114" s="24"/>
      <c r="F114" s="24"/>
      <c r="O114" s="25"/>
    </row>
    <row r="115" spans="5:15" customFormat="1">
      <c r="E115" s="24"/>
      <c r="F115" s="24"/>
      <c r="O115" s="25"/>
    </row>
    <row r="116" spans="5:15" customFormat="1">
      <c r="E116" s="24"/>
      <c r="F116" s="24"/>
      <c r="O116" s="25"/>
    </row>
    <row r="117" spans="5:15" customFormat="1">
      <c r="E117" s="24"/>
      <c r="F117" s="24"/>
      <c r="O117" s="25"/>
    </row>
    <row r="118" spans="5:15" customFormat="1">
      <c r="E118" s="24"/>
      <c r="F118" s="24"/>
      <c r="O118" s="25"/>
    </row>
    <row r="119" spans="5:15" customFormat="1">
      <c r="E119" s="24"/>
      <c r="F119" s="24"/>
      <c r="O119" s="25"/>
    </row>
    <row r="120" spans="5:15" customFormat="1">
      <c r="E120" s="24"/>
      <c r="F120" s="24"/>
      <c r="O120" s="25"/>
    </row>
    <row r="121" spans="5:15" customFormat="1">
      <c r="E121" s="24"/>
      <c r="F121" s="24"/>
      <c r="O121" s="25"/>
    </row>
    <row r="122" spans="5:15" customFormat="1">
      <c r="E122" s="24"/>
      <c r="F122" s="24"/>
      <c r="O122" s="25"/>
    </row>
    <row r="123" spans="5:15" customFormat="1">
      <c r="E123" s="24"/>
      <c r="F123" s="24"/>
      <c r="O123" s="25"/>
    </row>
    <row r="124" spans="5:15" customFormat="1">
      <c r="E124" s="24"/>
      <c r="F124" s="24"/>
      <c r="O124" s="25"/>
    </row>
    <row r="125" spans="5:15" customFormat="1">
      <c r="E125" s="24"/>
      <c r="F125" s="24"/>
      <c r="O125" s="25"/>
    </row>
    <row r="126" spans="5:15" customFormat="1">
      <c r="E126" s="24"/>
      <c r="F126" s="24"/>
      <c r="O126" s="25"/>
    </row>
    <row r="127" spans="5:15" customFormat="1">
      <c r="E127" s="24"/>
      <c r="F127" s="24"/>
      <c r="O127" s="25"/>
    </row>
    <row r="128" spans="5:15" customFormat="1">
      <c r="E128" s="24"/>
      <c r="F128" s="24"/>
      <c r="O128" s="25"/>
    </row>
    <row r="129" spans="5:15" customFormat="1">
      <c r="E129" s="24"/>
      <c r="F129" s="24"/>
      <c r="O129" s="25"/>
    </row>
    <row r="130" spans="5:15" customFormat="1">
      <c r="E130" s="24"/>
      <c r="F130" s="24"/>
      <c r="O130" s="25"/>
    </row>
    <row r="131" spans="5:15" customFormat="1">
      <c r="E131" s="24"/>
      <c r="F131" s="24"/>
      <c r="O131" s="25"/>
    </row>
    <row r="132" spans="5:15" customFormat="1">
      <c r="E132" s="24"/>
      <c r="F132" s="24"/>
      <c r="O132" s="25"/>
    </row>
    <row r="133" spans="5:15" customFormat="1">
      <c r="E133" s="24"/>
      <c r="F133" s="24"/>
      <c r="O133" s="25"/>
    </row>
    <row r="134" spans="5:15" customFormat="1">
      <c r="E134" s="24"/>
      <c r="F134" s="24"/>
      <c r="O134" s="25"/>
    </row>
    <row r="135" spans="5:15" customFormat="1">
      <c r="E135" s="24"/>
      <c r="F135" s="24"/>
      <c r="O135" s="25"/>
    </row>
    <row r="136" spans="5:15" customFormat="1">
      <c r="E136" s="24"/>
      <c r="F136" s="24"/>
      <c r="O136" s="25"/>
    </row>
    <row r="137" spans="5:15" customFormat="1">
      <c r="E137" s="24"/>
      <c r="F137" s="24"/>
      <c r="O137" s="25"/>
    </row>
    <row r="138" spans="5:15" customFormat="1">
      <c r="E138" s="24"/>
      <c r="F138" s="24"/>
      <c r="O138" s="25"/>
    </row>
    <row r="139" spans="5:15" customFormat="1">
      <c r="E139" s="24"/>
      <c r="F139" s="24"/>
      <c r="O139" s="25"/>
    </row>
    <row r="140" spans="5:15" customFormat="1">
      <c r="E140" s="24"/>
      <c r="F140" s="24"/>
      <c r="O140" s="25"/>
    </row>
    <row r="141" spans="5:15" customFormat="1">
      <c r="E141" s="24"/>
      <c r="F141" s="24"/>
      <c r="O141" s="25"/>
    </row>
    <row r="142" spans="5:15" customFormat="1">
      <c r="E142" s="24"/>
      <c r="F142" s="24"/>
      <c r="O142" s="25"/>
    </row>
    <row r="143" spans="5:15" customFormat="1">
      <c r="E143" s="24"/>
      <c r="F143" s="24"/>
      <c r="O143" s="25"/>
    </row>
    <row r="144" spans="5:15" customFormat="1">
      <c r="E144" s="24"/>
      <c r="F144" s="24"/>
      <c r="O144" s="25"/>
    </row>
    <row r="145" spans="5:44" customFormat="1">
      <c r="E145" s="24"/>
      <c r="F145" s="24"/>
      <c r="O145" s="25"/>
    </row>
    <row r="146" spans="5:44" customFormat="1">
      <c r="E146" s="24"/>
      <c r="F146" s="24"/>
      <c r="O146" s="25"/>
    </row>
    <row r="147" spans="5:44" customFormat="1">
      <c r="E147" s="24"/>
      <c r="F147" s="24"/>
      <c r="O147" s="25"/>
    </row>
    <row r="148" spans="5:44" customFormat="1">
      <c r="E148" s="24"/>
      <c r="F148" s="24"/>
      <c r="O148" s="25"/>
    </row>
    <row r="149" spans="5:44" customFormat="1">
      <c r="E149" s="24"/>
      <c r="F149" s="24"/>
      <c r="O149" s="25"/>
    </row>
    <row r="150" spans="5:44" customFormat="1">
      <c r="E150" s="24"/>
      <c r="F150" s="24"/>
      <c r="O150" s="25"/>
    </row>
    <row r="151" spans="5:44" customFormat="1">
      <c r="E151" s="24"/>
      <c r="F151" s="24"/>
      <c r="O151" s="25"/>
    </row>
    <row r="152" spans="5:44" customFormat="1">
      <c r="E152" s="24"/>
      <c r="F152" s="24"/>
      <c r="O152" s="25"/>
    </row>
    <row r="153" spans="5:44" customFormat="1">
      <c r="E153" s="24"/>
      <c r="F153" s="24"/>
      <c r="O153" s="25"/>
    </row>
    <row r="154" spans="5:44" customFormat="1">
      <c r="E154" s="24"/>
      <c r="F154" s="24"/>
    </row>
    <row r="155" spans="5:44" customFormat="1">
      <c r="E155" s="24"/>
      <c r="F155" s="24"/>
      <c r="O155" s="25"/>
    </row>
    <row r="156" spans="5:44" customFormat="1">
      <c r="E156" s="24"/>
      <c r="F156" s="24"/>
      <c r="O156" s="25"/>
    </row>
    <row r="157" spans="5:44" customFormat="1">
      <c r="E157" s="24"/>
      <c r="F157" s="24"/>
      <c r="O157" s="25"/>
    </row>
    <row r="158" spans="5:44" ht="15" customHeight="1">
      <c r="I158" s="16"/>
      <c r="J158" s="16"/>
      <c r="K158" s="16"/>
      <c r="L158" s="16"/>
      <c r="M158" s="16"/>
      <c r="N158" s="16"/>
      <c r="O158" s="16"/>
      <c r="P158" s="16"/>
      <c r="Q158" s="17"/>
      <c r="R158" s="18"/>
      <c r="S158" s="19"/>
      <c r="T158" s="19"/>
      <c r="U158" s="20"/>
      <c r="V158" s="21"/>
      <c r="W158" s="22"/>
      <c r="X158" s="17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</row>
    <row r="159" spans="5:44" ht="15" customHeight="1">
      <c r="I159" s="16"/>
      <c r="J159" s="16"/>
      <c r="K159" s="16"/>
      <c r="L159" s="16"/>
      <c r="M159" s="16"/>
      <c r="N159" s="16"/>
      <c r="O159" s="16"/>
      <c r="P159" s="16"/>
      <c r="Q159" s="17"/>
      <c r="R159" s="18"/>
      <c r="S159" s="19"/>
      <c r="T159" s="19"/>
      <c r="U159" s="20"/>
      <c r="V159" s="21"/>
      <c r="W159" s="22"/>
      <c r="X159" s="17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</row>
    <row r="160" spans="5:44" ht="15" customHeight="1">
      <c r="I160" s="16"/>
      <c r="J160" s="16"/>
      <c r="K160" s="16"/>
      <c r="L160" s="16"/>
      <c r="M160" s="16"/>
      <c r="N160" s="16"/>
      <c r="O160" s="16"/>
      <c r="P160" s="16"/>
      <c r="Q160" s="17"/>
      <c r="R160" s="18"/>
      <c r="S160" s="19"/>
      <c r="T160" s="19"/>
      <c r="U160" s="20"/>
      <c r="V160" s="21"/>
      <c r="W160" s="22"/>
      <c r="X160" s="17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</row>
    <row r="161" spans="9:44" ht="15" customHeight="1">
      <c r="I161" s="16"/>
      <c r="J161" s="16"/>
      <c r="K161" s="16"/>
      <c r="L161" s="16"/>
      <c r="M161" s="16"/>
      <c r="N161" s="16"/>
      <c r="O161" s="16"/>
      <c r="P161" s="16"/>
      <c r="Q161" s="17"/>
      <c r="R161" s="18"/>
      <c r="S161" s="19"/>
      <c r="T161" s="19"/>
      <c r="U161" s="20"/>
      <c r="V161" s="21"/>
      <c r="W161" s="22"/>
      <c r="X161" s="17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</row>
    <row r="162" spans="9:44" ht="15" customHeight="1">
      <c r="I162" s="16"/>
      <c r="J162" s="16"/>
      <c r="K162" s="16"/>
      <c r="L162" s="16"/>
      <c r="M162" s="16"/>
      <c r="N162" s="16"/>
      <c r="O162" s="16"/>
      <c r="P162" s="16"/>
      <c r="Q162" s="17"/>
      <c r="R162" s="18"/>
      <c r="S162" s="19"/>
      <c r="T162" s="19"/>
      <c r="U162" s="20"/>
      <c r="V162" s="21"/>
      <c r="W162" s="22"/>
      <c r="X162" s="17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</row>
    <row r="163" spans="9:44" ht="15" customHeight="1">
      <c r="I163" s="16"/>
      <c r="J163" s="16"/>
      <c r="K163" s="16"/>
      <c r="L163" s="16"/>
      <c r="M163" s="16"/>
      <c r="N163" s="16"/>
      <c r="O163" s="16"/>
      <c r="P163" s="16"/>
      <c r="Q163" s="17"/>
      <c r="R163" s="18"/>
      <c r="S163" s="19"/>
      <c r="T163" s="19"/>
      <c r="U163" s="20"/>
      <c r="V163" s="21"/>
      <c r="W163" s="22"/>
      <c r="X163" s="17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</row>
    <row r="164" spans="9:44" ht="15" customHeight="1">
      <c r="I164" s="16"/>
      <c r="J164" s="16"/>
      <c r="K164" s="16"/>
      <c r="L164" s="16"/>
      <c r="M164" s="16"/>
      <c r="N164" s="16"/>
      <c r="O164" s="16"/>
      <c r="P164" s="16"/>
      <c r="Q164" s="17"/>
      <c r="R164" s="18"/>
      <c r="S164" s="19"/>
      <c r="T164" s="19"/>
      <c r="U164" s="20"/>
      <c r="V164" s="21"/>
      <c r="W164" s="22"/>
      <c r="X164" s="17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</row>
    <row r="165" spans="9:44" ht="15" customHeight="1">
      <c r="I165" s="16"/>
      <c r="J165" s="16"/>
      <c r="K165" s="16"/>
      <c r="L165" s="16"/>
      <c r="M165" s="16"/>
      <c r="N165" s="16"/>
      <c r="O165" s="16"/>
      <c r="P165" s="16"/>
      <c r="Q165" s="17"/>
      <c r="R165" s="18"/>
      <c r="S165" s="19"/>
      <c r="T165" s="19"/>
      <c r="U165" s="20"/>
      <c r="V165" s="21"/>
      <c r="W165" s="22"/>
      <c r="X165" s="17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</row>
    <row r="166" spans="9:44" ht="15" customHeight="1">
      <c r="I166" s="16"/>
      <c r="J166" s="16"/>
      <c r="K166" s="16"/>
      <c r="L166" s="16"/>
      <c r="M166" s="16"/>
      <c r="N166" s="16"/>
      <c r="O166" s="16"/>
      <c r="P166" s="16"/>
      <c r="Q166" s="17"/>
      <c r="R166" s="18"/>
      <c r="S166" s="19"/>
      <c r="T166" s="19"/>
      <c r="U166" s="20"/>
      <c r="V166" s="21"/>
      <c r="W166" s="22"/>
      <c r="X166" s="17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</row>
    <row r="167" spans="9:44" ht="15" customHeight="1">
      <c r="I167" s="16"/>
      <c r="J167" s="16"/>
      <c r="K167" s="16"/>
      <c r="L167" s="16"/>
      <c r="M167" s="16"/>
      <c r="N167" s="16"/>
      <c r="O167" s="16"/>
      <c r="P167" s="16"/>
      <c r="Q167" s="17"/>
      <c r="R167" s="18"/>
      <c r="S167" s="19"/>
      <c r="T167" s="19"/>
      <c r="U167" s="20"/>
      <c r="V167" s="21"/>
      <c r="W167" s="22"/>
      <c r="X167" s="17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</row>
    <row r="168" spans="9:44" ht="15" customHeight="1">
      <c r="I168" s="16"/>
      <c r="J168" s="16"/>
      <c r="K168" s="16"/>
      <c r="L168" s="16"/>
      <c r="M168" s="16"/>
      <c r="N168" s="16"/>
      <c r="O168" s="16"/>
      <c r="P168" s="16"/>
      <c r="Q168" s="17"/>
      <c r="R168" s="18"/>
      <c r="S168" s="19"/>
      <c r="T168" s="19"/>
      <c r="U168" s="20"/>
      <c r="V168" s="21"/>
      <c r="W168" s="22"/>
      <c r="X168" s="17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</row>
    <row r="169" spans="9:44" ht="15" customHeight="1">
      <c r="I169" s="16"/>
      <c r="J169" s="16"/>
      <c r="K169" s="16"/>
      <c r="L169" s="16"/>
      <c r="M169" s="16"/>
      <c r="N169" s="16"/>
      <c r="O169" s="16"/>
      <c r="P169" s="16"/>
      <c r="Q169" s="17"/>
      <c r="R169" s="18"/>
      <c r="S169" s="19"/>
      <c r="T169" s="19"/>
      <c r="U169" s="20"/>
      <c r="V169" s="21"/>
      <c r="W169" s="22"/>
      <c r="X169" s="17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</row>
    <row r="170" spans="9:44" ht="15" customHeight="1">
      <c r="I170" s="16"/>
      <c r="J170" s="16"/>
      <c r="K170" s="16"/>
      <c r="L170" s="16"/>
      <c r="M170" s="16"/>
      <c r="N170" s="16"/>
      <c r="O170" s="16"/>
      <c r="P170" s="16"/>
      <c r="Q170" s="17"/>
      <c r="R170" s="18"/>
      <c r="S170" s="19"/>
      <c r="T170" s="19"/>
      <c r="U170" s="20"/>
      <c r="V170" s="21"/>
      <c r="W170" s="22"/>
      <c r="X170" s="17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</row>
    <row r="171" spans="9:44" ht="15" customHeight="1">
      <c r="I171" s="16"/>
      <c r="J171" s="16"/>
      <c r="K171" s="16"/>
      <c r="L171" s="16"/>
      <c r="M171" s="16"/>
      <c r="N171" s="16"/>
      <c r="O171" s="16"/>
      <c r="P171" s="16"/>
      <c r="Q171" s="17"/>
      <c r="R171" s="18"/>
      <c r="S171" s="19"/>
      <c r="T171" s="19"/>
      <c r="U171" s="20"/>
      <c r="V171" s="21"/>
      <c r="W171" s="22"/>
      <c r="X171" s="17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</row>
    <row r="172" spans="9:44" ht="15" customHeight="1">
      <c r="I172" s="16"/>
      <c r="J172" s="16"/>
      <c r="K172" s="16"/>
      <c r="L172" s="16"/>
      <c r="M172" s="16"/>
      <c r="N172" s="16"/>
      <c r="O172" s="16"/>
      <c r="P172" s="16"/>
      <c r="Q172" s="17"/>
      <c r="R172" s="18"/>
      <c r="S172" s="19"/>
      <c r="T172" s="19"/>
      <c r="U172" s="20"/>
      <c r="V172" s="21"/>
      <c r="W172" s="22"/>
      <c r="X172" s="17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</row>
    <row r="173" spans="9:44" ht="15" customHeight="1">
      <c r="I173" s="16"/>
      <c r="J173" s="16"/>
      <c r="K173" s="16"/>
      <c r="L173" s="16"/>
      <c r="M173" s="16"/>
      <c r="N173" s="16"/>
      <c r="O173" s="16"/>
      <c r="P173" s="16"/>
      <c r="Q173" s="17"/>
      <c r="R173" s="18"/>
      <c r="S173" s="19"/>
      <c r="T173" s="19"/>
      <c r="U173" s="20"/>
      <c r="V173" s="21"/>
      <c r="W173" s="22"/>
      <c r="X173" s="17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</row>
    <row r="174" spans="9:44" ht="15" customHeight="1">
      <c r="I174" s="16"/>
      <c r="J174" s="16"/>
      <c r="K174" s="16"/>
      <c r="L174" s="16"/>
      <c r="M174" s="16"/>
      <c r="N174" s="16"/>
      <c r="O174" s="16"/>
      <c r="P174" s="16"/>
      <c r="Q174" s="17"/>
      <c r="R174" s="18"/>
      <c r="S174" s="19"/>
      <c r="T174" s="19"/>
      <c r="U174" s="20"/>
      <c r="V174" s="21"/>
      <c r="W174" s="22"/>
      <c r="X174" s="17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</row>
    <row r="175" spans="9:44" ht="15" customHeight="1">
      <c r="I175" s="16"/>
      <c r="J175" s="16"/>
      <c r="K175" s="16"/>
      <c r="L175" s="16"/>
      <c r="M175" s="16"/>
      <c r="N175" s="16"/>
      <c r="O175" s="16"/>
      <c r="P175" s="16"/>
      <c r="Q175" s="17"/>
      <c r="R175" s="18"/>
      <c r="S175" s="19"/>
      <c r="T175" s="19"/>
      <c r="U175" s="20"/>
      <c r="V175" s="21"/>
      <c r="W175" s="22"/>
      <c r="X175" s="17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</row>
    <row r="176" spans="9:44" ht="15" customHeight="1">
      <c r="I176" s="16"/>
      <c r="J176" s="16"/>
      <c r="K176" s="16"/>
      <c r="L176" s="16"/>
      <c r="M176" s="16"/>
      <c r="N176" s="16"/>
      <c r="O176" s="16"/>
      <c r="P176" s="16"/>
      <c r="Q176" s="17"/>
      <c r="R176" s="18"/>
      <c r="S176" s="19"/>
      <c r="T176" s="19"/>
      <c r="U176" s="20"/>
      <c r="V176" s="21"/>
      <c r="W176" s="22"/>
      <c r="X176" s="17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</row>
    <row r="177" spans="9:44" ht="15" customHeight="1">
      <c r="I177" s="16"/>
      <c r="J177" s="16"/>
      <c r="K177" s="16"/>
      <c r="L177" s="16"/>
      <c r="M177" s="16"/>
      <c r="N177" s="16"/>
      <c r="O177" s="16"/>
      <c r="P177" s="16"/>
      <c r="Q177" s="17"/>
      <c r="R177" s="18"/>
      <c r="S177" s="19"/>
      <c r="T177" s="19"/>
      <c r="U177" s="20"/>
      <c r="V177" s="21"/>
      <c r="W177" s="22"/>
      <c r="X177" s="17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</row>
    <row r="178" spans="9:44" ht="15" customHeight="1">
      <c r="I178" s="16"/>
      <c r="J178" s="16"/>
      <c r="K178" s="16"/>
      <c r="L178" s="16"/>
      <c r="M178" s="16"/>
      <c r="N178" s="16"/>
      <c r="O178" s="16"/>
      <c r="P178" s="16"/>
      <c r="Q178" s="17"/>
      <c r="R178" s="18"/>
      <c r="S178" s="19"/>
      <c r="T178" s="19"/>
      <c r="U178" s="20"/>
      <c r="V178" s="21"/>
      <c r="W178" s="22"/>
      <c r="X178" s="17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</row>
    <row r="179" spans="9:44" ht="15" customHeight="1">
      <c r="I179" s="16"/>
      <c r="J179" s="16"/>
      <c r="K179" s="16"/>
      <c r="L179" s="16"/>
      <c r="M179" s="16"/>
      <c r="N179" s="16"/>
      <c r="O179" s="16"/>
      <c r="P179" s="16"/>
      <c r="Q179" s="17"/>
      <c r="R179" s="18"/>
      <c r="S179" s="19"/>
      <c r="T179" s="19"/>
      <c r="U179" s="20"/>
      <c r="V179" s="21"/>
      <c r="W179" s="22"/>
      <c r="X179" s="17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</row>
    <row r="180" spans="9:44" ht="15" customHeight="1">
      <c r="I180" s="16"/>
      <c r="J180" s="16"/>
      <c r="K180" s="16"/>
      <c r="L180" s="16"/>
      <c r="M180" s="16"/>
      <c r="N180" s="16"/>
      <c r="O180" s="16"/>
      <c r="P180" s="16"/>
      <c r="Q180" s="17"/>
      <c r="R180" s="18"/>
      <c r="S180" s="19"/>
      <c r="T180" s="19"/>
      <c r="U180" s="20"/>
      <c r="V180" s="21"/>
      <c r="W180" s="22"/>
      <c r="X180" s="17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</row>
    <row r="181" spans="9:44" ht="15" customHeight="1">
      <c r="I181" s="16"/>
      <c r="J181" s="16"/>
      <c r="K181" s="16"/>
      <c r="L181" s="16"/>
      <c r="M181" s="16"/>
      <c r="N181" s="16"/>
      <c r="O181" s="16"/>
      <c r="P181" s="16"/>
      <c r="Q181" s="17"/>
      <c r="R181" s="18"/>
      <c r="S181" s="19"/>
      <c r="T181" s="19"/>
      <c r="U181" s="20"/>
      <c r="V181" s="21"/>
      <c r="W181" s="22"/>
      <c r="X181" s="17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</row>
    <row r="182" spans="9:44" ht="15" customHeight="1">
      <c r="I182" s="16"/>
      <c r="J182" s="16"/>
      <c r="K182" s="16"/>
      <c r="L182" s="16"/>
      <c r="M182" s="16"/>
      <c r="N182" s="16"/>
      <c r="O182" s="16"/>
      <c r="P182" s="16"/>
      <c r="Q182" s="17"/>
      <c r="R182" s="18"/>
      <c r="S182" s="19"/>
      <c r="T182" s="19"/>
      <c r="U182" s="20"/>
      <c r="V182" s="21"/>
      <c r="W182" s="22"/>
      <c r="X182" s="17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</row>
    <row r="183" spans="9:44" ht="15" customHeight="1">
      <c r="I183" s="16"/>
      <c r="J183" s="16"/>
      <c r="K183" s="16"/>
      <c r="L183" s="16"/>
      <c r="M183" s="16"/>
      <c r="N183" s="16"/>
      <c r="O183" s="16"/>
      <c r="P183" s="16"/>
      <c r="Q183" s="17"/>
      <c r="R183" s="18"/>
      <c r="S183" s="19"/>
      <c r="T183" s="19"/>
      <c r="U183" s="20"/>
      <c r="V183" s="21"/>
      <c r="W183" s="22"/>
      <c r="X183" s="17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</row>
    <row r="184" spans="9:44" ht="15" customHeight="1">
      <c r="I184" s="16"/>
      <c r="J184" s="16"/>
      <c r="K184" s="16"/>
      <c r="L184" s="16"/>
      <c r="M184" s="16"/>
      <c r="N184" s="16"/>
      <c r="O184" s="16"/>
      <c r="P184" s="16"/>
      <c r="Q184" s="17"/>
      <c r="R184" s="18"/>
      <c r="S184" s="19"/>
      <c r="T184" s="19"/>
      <c r="U184" s="20"/>
      <c r="V184" s="21"/>
      <c r="W184" s="22"/>
      <c r="X184" s="17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</row>
    <row r="185" spans="9:44" ht="15" customHeight="1">
      <c r="I185" s="16"/>
      <c r="J185" s="16"/>
      <c r="K185" s="16"/>
      <c r="L185" s="16"/>
      <c r="M185" s="16"/>
      <c r="N185" s="16"/>
      <c r="O185" s="16"/>
      <c r="P185" s="16"/>
      <c r="Q185" s="17"/>
      <c r="R185" s="18"/>
      <c r="S185" s="19"/>
      <c r="T185" s="19"/>
      <c r="U185" s="20"/>
      <c r="V185" s="21"/>
      <c r="W185" s="22"/>
      <c r="X185" s="17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</row>
    <row r="186" spans="9:44" ht="15" customHeight="1">
      <c r="I186" s="16"/>
      <c r="J186" s="16"/>
      <c r="K186" s="16"/>
      <c r="L186" s="16"/>
      <c r="M186" s="16"/>
      <c r="N186" s="16"/>
      <c r="O186" s="16"/>
      <c r="P186" s="16"/>
      <c r="Q186" s="17"/>
      <c r="R186" s="18"/>
      <c r="S186" s="19"/>
      <c r="T186" s="19"/>
      <c r="U186" s="20"/>
      <c r="V186" s="21"/>
      <c r="W186" s="22"/>
      <c r="X186" s="17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</row>
    <row r="187" spans="9:44" ht="15" customHeight="1">
      <c r="I187" s="16"/>
      <c r="J187" s="16"/>
      <c r="K187" s="16"/>
      <c r="L187" s="16"/>
      <c r="M187" s="16"/>
      <c r="N187" s="16"/>
      <c r="O187" s="16"/>
      <c r="P187" s="16"/>
      <c r="Q187" s="17"/>
      <c r="R187" s="18"/>
      <c r="S187" s="19"/>
      <c r="T187" s="19"/>
      <c r="U187" s="20"/>
      <c r="V187" s="21"/>
      <c r="W187" s="22"/>
      <c r="X187" s="17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</row>
    <row r="188" spans="9:44" ht="15" customHeight="1">
      <c r="I188" s="16"/>
      <c r="J188" s="16"/>
      <c r="K188" s="16"/>
      <c r="L188" s="16"/>
      <c r="M188" s="16"/>
      <c r="N188" s="16"/>
      <c r="O188" s="16"/>
      <c r="P188" s="16"/>
      <c r="Q188" s="17"/>
      <c r="R188" s="18"/>
      <c r="S188" s="19"/>
      <c r="T188" s="19"/>
      <c r="U188" s="20"/>
      <c r="V188" s="21"/>
      <c r="W188" s="22"/>
      <c r="X188" s="17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</row>
    <row r="189" spans="9:44" ht="15" customHeight="1">
      <c r="I189" s="16"/>
      <c r="J189" s="16"/>
      <c r="K189" s="16"/>
      <c r="L189" s="16"/>
      <c r="M189" s="16"/>
      <c r="N189" s="16"/>
      <c r="O189" s="16"/>
      <c r="P189" s="16"/>
      <c r="Q189" s="17"/>
      <c r="R189" s="18"/>
      <c r="S189" s="19"/>
      <c r="T189" s="19"/>
      <c r="U189" s="20"/>
      <c r="V189" s="21"/>
      <c r="W189" s="22"/>
      <c r="X189" s="17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</row>
    <row r="190" spans="9:44" ht="15" customHeight="1">
      <c r="I190" s="16"/>
      <c r="J190" s="16"/>
      <c r="K190" s="16"/>
      <c r="L190" s="16"/>
      <c r="M190" s="16"/>
      <c r="N190" s="16"/>
      <c r="O190" s="16"/>
      <c r="P190" s="16"/>
      <c r="Q190" s="17"/>
      <c r="R190" s="18"/>
      <c r="S190" s="19"/>
      <c r="T190" s="19"/>
      <c r="U190" s="20"/>
      <c r="V190" s="21"/>
      <c r="W190" s="22"/>
      <c r="X190" s="17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</row>
    <row r="191" spans="9:44" ht="15" customHeight="1">
      <c r="I191" s="16"/>
      <c r="J191" s="16"/>
      <c r="K191" s="16"/>
      <c r="L191" s="16"/>
      <c r="M191" s="16"/>
      <c r="N191" s="16"/>
      <c r="O191" s="16"/>
      <c r="P191" s="16"/>
      <c r="Q191" s="17"/>
      <c r="R191" s="18"/>
      <c r="S191" s="19"/>
      <c r="T191" s="19"/>
      <c r="U191" s="20"/>
      <c r="V191" s="21"/>
      <c r="W191" s="22"/>
      <c r="X191" s="17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</row>
    <row r="192" spans="9:44" ht="15" customHeight="1">
      <c r="I192" s="16"/>
      <c r="J192" s="16"/>
      <c r="K192" s="16"/>
      <c r="L192" s="16"/>
      <c r="M192" s="16"/>
      <c r="N192" s="16"/>
      <c r="O192" s="16"/>
      <c r="P192" s="16"/>
      <c r="Q192" s="17"/>
      <c r="R192" s="18"/>
      <c r="S192" s="19"/>
      <c r="T192" s="19"/>
      <c r="U192" s="20"/>
      <c r="V192" s="21"/>
      <c r="W192" s="22"/>
      <c r="X192" s="17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</row>
    <row r="193" spans="9:44" ht="15" customHeight="1">
      <c r="I193" s="16"/>
      <c r="J193" s="16"/>
      <c r="K193" s="16"/>
      <c r="L193" s="16"/>
      <c r="M193" s="16"/>
      <c r="N193" s="16"/>
      <c r="O193" s="16"/>
      <c r="P193" s="16"/>
      <c r="Q193" s="17"/>
      <c r="R193" s="18"/>
      <c r="S193" s="19"/>
      <c r="T193" s="19"/>
      <c r="U193" s="20"/>
      <c r="V193" s="21"/>
      <c r="W193" s="22"/>
      <c r="X193" s="17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</row>
    <row r="194" spans="9:44" ht="15" customHeight="1">
      <c r="I194" s="16"/>
      <c r="J194" s="16"/>
      <c r="K194" s="16"/>
      <c r="L194" s="16"/>
      <c r="M194" s="16"/>
      <c r="N194" s="16"/>
      <c r="O194" s="16"/>
      <c r="P194" s="16"/>
      <c r="Q194" s="17"/>
      <c r="R194" s="18"/>
      <c r="S194" s="19"/>
      <c r="T194" s="19"/>
      <c r="U194" s="20"/>
      <c r="V194" s="21"/>
      <c r="W194" s="22"/>
      <c r="X194" s="17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</row>
    <row r="195" spans="9:44" ht="15" customHeight="1">
      <c r="I195" s="16"/>
      <c r="J195" s="16"/>
      <c r="K195" s="16"/>
      <c r="L195" s="16"/>
      <c r="M195" s="16"/>
      <c r="N195" s="16"/>
      <c r="O195" s="16"/>
      <c r="P195" s="16"/>
      <c r="Q195" s="17"/>
      <c r="R195" s="18"/>
      <c r="S195" s="19"/>
      <c r="T195" s="19"/>
      <c r="U195" s="20"/>
      <c r="V195" s="21"/>
      <c r="W195" s="22"/>
      <c r="X195" s="17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</row>
    <row r="196" spans="9:44" ht="15" customHeight="1">
      <c r="I196" s="16"/>
      <c r="J196" s="16"/>
      <c r="K196" s="16"/>
      <c r="L196" s="16"/>
      <c r="M196" s="16"/>
      <c r="N196" s="16"/>
      <c r="O196" s="16"/>
      <c r="P196" s="16"/>
      <c r="Q196" s="17"/>
      <c r="R196" s="18"/>
      <c r="S196" s="19"/>
      <c r="T196" s="19"/>
      <c r="U196" s="20"/>
      <c r="V196" s="21"/>
      <c r="W196" s="22"/>
      <c r="X196" s="17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</row>
    <row r="197" spans="9:44" ht="15" customHeight="1">
      <c r="I197" s="16"/>
      <c r="J197" s="16"/>
      <c r="K197" s="16"/>
      <c r="L197" s="16"/>
      <c r="M197" s="16"/>
      <c r="N197" s="16"/>
      <c r="O197" s="16"/>
      <c r="P197" s="16"/>
      <c r="Q197" s="17"/>
      <c r="R197" s="18"/>
      <c r="S197" s="19"/>
      <c r="T197" s="19"/>
      <c r="U197" s="20"/>
      <c r="V197" s="21"/>
      <c r="W197" s="22"/>
      <c r="X197" s="17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</row>
    <row r="198" spans="9:44" ht="15" customHeight="1">
      <c r="I198" s="16"/>
      <c r="J198" s="16"/>
      <c r="K198" s="16"/>
      <c r="L198" s="16"/>
      <c r="M198" s="16"/>
      <c r="N198" s="16"/>
      <c r="O198" s="16"/>
      <c r="P198" s="16"/>
      <c r="Q198" s="17"/>
      <c r="R198" s="18"/>
      <c r="S198" s="19"/>
      <c r="T198" s="19"/>
      <c r="U198" s="20"/>
      <c r="V198" s="21"/>
      <c r="W198" s="22"/>
      <c r="X198" s="17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</row>
    <row r="199" spans="9:44" ht="15" customHeight="1">
      <c r="I199" s="16"/>
      <c r="J199" s="16"/>
      <c r="K199" s="16"/>
      <c r="L199" s="16"/>
      <c r="M199" s="16"/>
      <c r="N199" s="16"/>
      <c r="O199" s="16"/>
      <c r="P199" s="16"/>
      <c r="Q199" s="17"/>
      <c r="R199" s="18"/>
      <c r="S199" s="19"/>
      <c r="T199" s="19"/>
      <c r="U199" s="20"/>
      <c r="V199" s="21"/>
      <c r="W199" s="22"/>
      <c r="X199" s="17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</row>
    <row r="200" spans="9:44" ht="15" customHeight="1">
      <c r="I200" s="16"/>
      <c r="J200" s="16"/>
      <c r="K200" s="16"/>
      <c r="L200" s="16"/>
      <c r="M200" s="16"/>
      <c r="N200" s="16"/>
      <c r="O200" s="16"/>
      <c r="P200" s="16"/>
      <c r="Q200" s="17"/>
      <c r="R200" s="18"/>
      <c r="S200" s="19"/>
      <c r="T200" s="19"/>
      <c r="U200" s="20"/>
      <c r="V200" s="21"/>
      <c r="W200" s="22"/>
      <c r="X200" s="17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</row>
    <row r="201" spans="9:44" ht="15" customHeight="1">
      <c r="I201" s="16"/>
      <c r="J201" s="16"/>
      <c r="K201" s="16"/>
      <c r="L201" s="16"/>
      <c r="M201" s="16"/>
      <c r="N201" s="16"/>
      <c r="O201" s="16"/>
      <c r="P201" s="16"/>
      <c r="Q201" s="17"/>
      <c r="R201" s="18"/>
      <c r="S201" s="19"/>
      <c r="T201" s="19"/>
      <c r="U201" s="20"/>
      <c r="V201" s="21"/>
      <c r="W201" s="22"/>
      <c r="X201" s="17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</row>
    <row r="202" spans="9:44" ht="15" customHeight="1">
      <c r="I202" s="16"/>
      <c r="J202" s="16"/>
      <c r="K202" s="16"/>
      <c r="L202" s="16"/>
      <c r="M202" s="16"/>
      <c r="N202" s="16"/>
      <c r="O202" s="16"/>
      <c r="P202" s="16"/>
      <c r="Q202" s="17"/>
      <c r="R202" s="18"/>
      <c r="S202" s="19"/>
      <c r="T202" s="19"/>
      <c r="U202" s="20"/>
      <c r="V202" s="21"/>
      <c r="W202" s="22"/>
      <c r="X202" s="17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</row>
    <row r="203" spans="9:44" ht="15" customHeight="1">
      <c r="I203" s="16"/>
      <c r="J203" s="16"/>
      <c r="K203" s="16"/>
      <c r="L203" s="16"/>
      <c r="M203" s="16"/>
      <c r="N203" s="16"/>
      <c r="O203" s="16"/>
      <c r="P203" s="16"/>
      <c r="Q203" s="17"/>
      <c r="R203" s="18"/>
      <c r="S203" s="19"/>
      <c r="T203" s="19"/>
      <c r="U203" s="20"/>
      <c r="V203" s="21"/>
      <c r="W203" s="22"/>
      <c r="X203" s="17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</row>
    <row r="204" spans="9:44" ht="15" customHeight="1">
      <c r="I204" s="16"/>
      <c r="J204" s="16"/>
      <c r="K204" s="16"/>
      <c r="L204" s="16"/>
      <c r="M204" s="16"/>
      <c r="N204" s="16"/>
      <c r="O204" s="16"/>
      <c r="P204" s="16"/>
      <c r="Q204" s="17"/>
      <c r="R204" s="18"/>
      <c r="S204" s="19"/>
      <c r="T204" s="19"/>
      <c r="U204" s="20"/>
      <c r="V204" s="21"/>
      <c r="W204" s="22"/>
      <c r="X204" s="17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</row>
    <row r="205" spans="9:44" ht="15" customHeight="1">
      <c r="I205" s="16"/>
      <c r="J205" s="16"/>
      <c r="K205" s="16"/>
      <c r="L205" s="16"/>
      <c r="M205" s="16"/>
      <c r="N205" s="16"/>
      <c r="O205" s="16"/>
      <c r="P205" s="16"/>
      <c r="Q205" s="17"/>
      <c r="R205" s="18"/>
      <c r="S205" s="19"/>
      <c r="T205" s="19"/>
      <c r="U205" s="20"/>
      <c r="V205" s="21"/>
      <c r="W205" s="22"/>
      <c r="X205" s="17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</row>
    <row r="206" spans="9:44" ht="15" customHeight="1">
      <c r="I206" s="16"/>
      <c r="J206" s="16"/>
      <c r="K206" s="16"/>
      <c r="L206" s="16"/>
      <c r="M206" s="16"/>
      <c r="N206" s="16"/>
      <c r="O206" s="16"/>
      <c r="P206" s="16"/>
      <c r="Q206" s="17"/>
      <c r="R206" s="18"/>
      <c r="S206" s="19"/>
      <c r="T206" s="19"/>
      <c r="U206" s="20"/>
      <c r="V206" s="21"/>
      <c r="W206" s="22"/>
      <c r="X206" s="17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</row>
    <row r="207" spans="9:44" ht="15" customHeight="1">
      <c r="I207" s="16"/>
      <c r="J207" s="16"/>
      <c r="K207" s="16"/>
      <c r="L207" s="16"/>
      <c r="M207" s="16"/>
      <c r="N207" s="16"/>
      <c r="O207" s="16"/>
      <c r="P207" s="16"/>
      <c r="Q207" s="17"/>
      <c r="R207" s="18"/>
      <c r="S207" s="19"/>
      <c r="T207" s="19"/>
      <c r="U207" s="20"/>
      <c r="V207" s="21"/>
      <c r="W207" s="22"/>
      <c r="X207" s="17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</row>
    <row r="208" spans="9:44" ht="15" customHeight="1">
      <c r="I208" s="16"/>
      <c r="J208" s="16"/>
      <c r="K208" s="16"/>
      <c r="L208" s="16"/>
      <c r="M208" s="16"/>
      <c r="N208" s="16"/>
      <c r="O208" s="16"/>
      <c r="P208" s="16"/>
      <c r="Q208" s="17"/>
      <c r="R208" s="18"/>
      <c r="S208" s="19"/>
      <c r="T208" s="19"/>
      <c r="U208" s="20"/>
      <c r="V208" s="21"/>
      <c r="W208" s="22"/>
      <c r="X208" s="17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</row>
    <row r="209" spans="9:44" ht="15" customHeight="1">
      <c r="I209" s="16"/>
      <c r="J209" s="16"/>
      <c r="K209" s="16"/>
      <c r="L209" s="16"/>
      <c r="M209" s="16"/>
      <c r="N209" s="16"/>
      <c r="O209" s="16"/>
      <c r="P209" s="16"/>
      <c r="Q209" s="17"/>
      <c r="R209" s="18"/>
      <c r="S209" s="19"/>
      <c r="T209" s="19"/>
      <c r="U209" s="20"/>
      <c r="V209" s="21"/>
      <c r="W209" s="22"/>
      <c r="X209" s="17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</row>
    <row r="210" spans="9:44" ht="15" customHeight="1">
      <c r="I210" s="16"/>
      <c r="J210" s="16"/>
      <c r="K210" s="16"/>
      <c r="L210" s="16"/>
      <c r="M210" s="16"/>
      <c r="N210" s="16"/>
      <c r="O210" s="16"/>
      <c r="P210" s="16"/>
      <c r="Q210" s="17"/>
      <c r="R210" s="18"/>
      <c r="S210" s="19"/>
      <c r="T210" s="19"/>
      <c r="U210" s="20"/>
      <c r="V210" s="21"/>
      <c r="W210" s="22"/>
      <c r="X210" s="17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</row>
    <row r="211" spans="9:44" ht="15" customHeight="1">
      <c r="I211" s="16"/>
      <c r="J211" s="16"/>
      <c r="K211" s="16"/>
      <c r="L211" s="16"/>
      <c r="M211" s="16"/>
      <c r="N211" s="16"/>
      <c r="O211" s="16"/>
      <c r="P211" s="16"/>
      <c r="Q211" s="17"/>
      <c r="R211" s="18"/>
      <c r="S211" s="19"/>
      <c r="T211" s="19"/>
      <c r="U211" s="20"/>
      <c r="V211" s="21"/>
      <c r="W211" s="22"/>
      <c r="X211" s="17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</row>
    <row r="212" spans="9:44" ht="15" customHeight="1">
      <c r="I212" s="16"/>
      <c r="J212" s="16"/>
      <c r="K212" s="16"/>
      <c r="L212" s="16"/>
      <c r="M212" s="16"/>
      <c r="N212" s="16"/>
      <c r="O212" s="16"/>
      <c r="P212" s="16"/>
      <c r="Q212" s="17"/>
      <c r="R212" s="18"/>
      <c r="S212" s="19"/>
      <c r="T212" s="19"/>
      <c r="U212" s="20"/>
      <c r="V212" s="21"/>
      <c r="W212" s="22"/>
      <c r="X212" s="17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</row>
    <row r="213" spans="9:44" ht="15" customHeight="1">
      <c r="I213" s="16"/>
      <c r="J213" s="16"/>
      <c r="K213" s="16"/>
      <c r="L213" s="16"/>
      <c r="M213" s="16"/>
      <c r="N213" s="16"/>
      <c r="O213" s="16"/>
      <c r="P213" s="16"/>
      <c r="Q213" s="17"/>
      <c r="R213" s="18"/>
      <c r="S213" s="19"/>
      <c r="T213" s="19"/>
      <c r="U213" s="20"/>
      <c r="V213" s="21"/>
      <c r="W213" s="22"/>
      <c r="X213" s="17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</row>
    <row r="214" spans="9:44" ht="15" customHeight="1">
      <c r="I214" s="16"/>
      <c r="J214" s="16"/>
      <c r="K214" s="16"/>
      <c r="L214" s="16"/>
      <c r="M214" s="16"/>
      <c r="N214" s="16"/>
      <c r="O214" s="16"/>
      <c r="P214" s="16"/>
      <c r="Q214" s="17"/>
      <c r="R214" s="18"/>
      <c r="S214" s="19"/>
      <c r="T214" s="19"/>
      <c r="U214" s="20"/>
      <c r="V214" s="21"/>
      <c r="W214" s="22"/>
      <c r="X214" s="17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</row>
    <row r="215" spans="9:44" ht="15" customHeight="1">
      <c r="I215" s="16"/>
      <c r="J215" s="16"/>
      <c r="K215" s="16"/>
      <c r="L215" s="16"/>
      <c r="M215" s="16"/>
      <c r="N215" s="16"/>
      <c r="O215" s="16"/>
      <c r="P215" s="16"/>
      <c r="Q215" s="17"/>
      <c r="R215" s="18"/>
      <c r="S215" s="19"/>
      <c r="T215" s="19"/>
      <c r="U215" s="20"/>
      <c r="V215" s="21"/>
      <c r="W215" s="22"/>
      <c r="X215" s="17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</row>
    <row r="216" spans="9:44" ht="15" customHeight="1">
      <c r="I216" s="16"/>
      <c r="J216" s="16"/>
      <c r="K216" s="16"/>
      <c r="L216" s="16"/>
      <c r="M216" s="16"/>
      <c r="N216" s="16"/>
      <c r="O216" s="16"/>
      <c r="P216" s="16"/>
      <c r="Q216" s="17"/>
      <c r="R216" s="18"/>
      <c r="S216" s="19"/>
      <c r="T216" s="19"/>
      <c r="U216" s="20"/>
      <c r="V216" s="21"/>
      <c r="W216" s="22"/>
      <c r="X216" s="17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</row>
    <row r="217" spans="9:44" ht="15" customHeight="1">
      <c r="I217" s="16"/>
      <c r="J217" s="16"/>
      <c r="K217" s="16"/>
      <c r="L217" s="16"/>
      <c r="M217" s="16"/>
      <c r="N217" s="16"/>
      <c r="O217" s="16"/>
      <c r="P217" s="16"/>
      <c r="Q217" s="17"/>
      <c r="R217" s="18"/>
      <c r="S217" s="19"/>
      <c r="T217" s="19"/>
      <c r="U217" s="20"/>
      <c r="V217" s="21"/>
      <c r="W217" s="22"/>
      <c r="X217" s="17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</row>
    <row r="218" spans="9:44" ht="15" customHeight="1">
      <c r="I218" s="16"/>
      <c r="J218" s="16"/>
      <c r="K218" s="16"/>
      <c r="L218" s="16"/>
      <c r="M218" s="16"/>
      <c r="N218" s="16"/>
      <c r="O218" s="16"/>
      <c r="P218" s="16"/>
      <c r="Q218" s="17"/>
      <c r="R218" s="18"/>
      <c r="S218" s="19"/>
      <c r="T218" s="19"/>
      <c r="U218" s="20"/>
      <c r="V218" s="21"/>
      <c r="W218" s="22"/>
      <c r="X218" s="17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</row>
    <row r="219" spans="9:44" ht="15" customHeight="1">
      <c r="I219" s="16"/>
      <c r="J219" s="16"/>
      <c r="K219" s="16"/>
      <c r="L219" s="16"/>
      <c r="M219" s="16"/>
      <c r="N219" s="16"/>
      <c r="O219" s="16"/>
      <c r="P219" s="16"/>
      <c r="Q219" s="17"/>
      <c r="R219" s="18"/>
      <c r="S219" s="19"/>
      <c r="T219" s="19"/>
      <c r="U219" s="20"/>
      <c r="V219" s="21"/>
      <c r="W219" s="22"/>
      <c r="X219" s="17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</row>
    <row r="220" spans="9:44" ht="15" customHeight="1">
      <c r="I220" s="16"/>
      <c r="J220" s="16"/>
      <c r="K220" s="16"/>
      <c r="L220" s="16"/>
      <c r="M220" s="16"/>
      <c r="N220" s="16"/>
      <c r="O220" s="16"/>
      <c r="P220" s="16"/>
      <c r="Q220" s="17"/>
      <c r="R220" s="18"/>
      <c r="S220" s="19"/>
      <c r="T220" s="19"/>
      <c r="U220" s="20"/>
      <c r="V220" s="21"/>
      <c r="W220" s="22"/>
      <c r="X220" s="17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</row>
    <row r="221" spans="9:44" ht="15" customHeight="1">
      <c r="I221" s="16"/>
      <c r="J221" s="16"/>
      <c r="K221" s="16"/>
      <c r="L221" s="16"/>
      <c r="M221" s="16"/>
      <c r="N221" s="16"/>
      <c r="O221" s="16"/>
      <c r="P221" s="16"/>
      <c r="Q221" s="17"/>
      <c r="R221" s="18"/>
      <c r="S221" s="19"/>
      <c r="T221" s="19"/>
      <c r="U221" s="20"/>
      <c r="V221" s="21"/>
      <c r="W221" s="22"/>
      <c r="X221" s="17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</row>
    <row r="222" spans="9:44" ht="15" customHeight="1">
      <c r="I222" s="16"/>
      <c r="J222" s="16"/>
      <c r="K222" s="16"/>
      <c r="L222" s="16"/>
      <c r="M222" s="16"/>
      <c r="N222" s="16"/>
      <c r="O222" s="16"/>
      <c r="P222" s="16"/>
      <c r="Q222" s="17"/>
      <c r="R222" s="18"/>
      <c r="S222" s="19"/>
      <c r="T222" s="19"/>
      <c r="U222" s="20"/>
      <c r="V222" s="21"/>
      <c r="W222" s="22"/>
      <c r="X222" s="17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</row>
    <row r="223" spans="9:44" ht="15" customHeight="1">
      <c r="I223" s="16"/>
      <c r="J223" s="16"/>
      <c r="K223" s="16"/>
      <c r="L223" s="16"/>
      <c r="M223" s="16"/>
      <c r="N223" s="16"/>
      <c r="O223" s="16"/>
      <c r="P223" s="16"/>
      <c r="Q223" s="17"/>
      <c r="R223" s="18"/>
      <c r="S223" s="19"/>
      <c r="T223" s="19"/>
      <c r="U223" s="20"/>
      <c r="V223" s="21"/>
      <c r="W223" s="22"/>
      <c r="X223" s="17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</row>
    <row r="224" spans="9:44" ht="15" customHeight="1">
      <c r="I224" s="16"/>
      <c r="J224" s="16"/>
      <c r="K224" s="16"/>
      <c r="L224" s="16"/>
      <c r="M224" s="16"/>
      <c r="N224" s="16"/>
      <c r="O224" s="16"/>
      <c r="P224" s="16"/>
      <c r="Q224" s="17"/>
      <c r="R224" s="18"/>
      <c r="S224" s="19"/>
      <c r="T224" s="19"/>
      <c r="U224" s="20"/>
      <c r="V224" s="21"/>
      <c r="W224" s="22"/>
      <c r="X224" s="17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</row>
    <row r="225" spans="9:44" ht="15" customHeight="1">
      <c r="I225" s="16"/>
      <c r="J225" s="16"/>
      <c r="K225" s="16"/>
      <c r="L225" s="16"/>
      <c r="M225" s="16"/>
      <c r="N225" s="16"/>
      <c r="O225" s="16"/>
      <c r="P225" s="16"/>
      <c r="Q225" s="17"/>
      <c r="R225" s="18"/>
      <c r="S225" s="19"/>
      <c r="T225" s="19"/>
      <c r="U225" s="20"/>
      <c r="V225" s="21"/>
      <c r="W225" s="22"/>
      <c r="X225" s="17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</row>
    <row r="226" spans="9:44" ht="15" customHeight="1">
      <c r="I226" s="16"/>
      <c r="J226" s="16"/>
      <c r="K226" s="16"/>
      <c r="L226" s="16"/>
      <c r="M226" s="16"/>
      <c r="N226" s="16"/>
      <c r="O226" s="16"/>
      <c r="P226" s="16"/>
      <c r="Q226" s="17"/>
      <c r="R226" s="18"/>
      <c r="S226" s="19"/>
      <c r="T226" s="19"/>
      <c r="U226" s="20"/>
      <c r="V226" s="21"/>
      <c r="W226" s="22"/>
      <c r="X226" s="17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</row>
    <row r="227" spans="9:44" ht="15" customHeight="1">
      <c r="I227" s="16"/>
      <c r="J227" s="16"/>
      <c r="K227" s="16"/>
      <c r="L227" s="16"/>
      <c r="M227" s="16"/>
      <c r="N227" s="16"/>
      <c r="O227" s="16"/>
      <c r="P227" s="16"/>
      <c r="Q227" s="17"/>
      <c r="R227" s="18"/>
      <c r="S227" s="19"/>
      <c r="T227" s="19"/>
      <c r="U227" s="20"/>
      <c r="V227" s="21"/>
      <c r="W227" s="22"/>
      <c r="X227" s="17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</row>
    <row r="228" spans="9:44" ht="15" customHeight="1">
      <c r="Q228" s="17"/>
      <c r="R228" s="18"/>
      <c r="S228" s="19"/>
      <c r="T228" s="19"/>
      <c r="U228" s="20"/>
      <c r="V228" s="21"/>
      <c r="W228" s="22"/>
      <c r="X228" s="17"/>
    </row>
    <row r="229" spans="9:44" ht="15" customHeight="1">
      <c r="Q229" s="17"/>
      <c r="R229" s="18"/>
      <c r="S229" s="19"/>
      <c r="T229" s="19"/>
      <c r="U229" s="20"/>
      <c r="V229" s="21"/>
      <c r="W229" s="22"/>
      <c r="X229" s="17"/>
    </row>
    <row r="230" spans="9:44" ht="15" customHeight="1">
      <c r="Q230" s="16"/>
      <c r="R230" s="17"/>
      <c r="S230" s="17"/>
      <c r="T230" s="17"/>
      <c r="U230" s="17"/>
      <c r="V230" s="17"/>
      <c r="W230" s="17"/>
      <c r="X230" s="16"/>
    </row>
    <row r="231" spans="9:44" ht="15" customHeight="1">
      <c r="Q231" s="16"/>
      <c r="R231" s="16"/>
      <c r="S231" s="16"/>
      <c r="T231" s="16"/>
      <c r="U231" s="16"/>
      <c r="V231" s="16"/>
      <c r="W231" s="17"/>
      <c r="X231" s="23"/>
    </row>
    <row r="232" spans="9:44" ht="15" customHeight="1">
      <c r="Q232" s="16"/>
      <c r="R232" s="16"/>
      <c r="S232" s="16"/>
      <c r="T232" s="16"/>
      <c r="U232" s="16"/>
      <c r="V232" s="16"/>
      <c r="W232" s="16"/>
      <c r="X232" s="16"/>
    </row>
  </sheetData>
  <mergeCells count="1">
    <mergeCell ref="A1:W1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H159"/>
  <sheetViews>
    <sheetView view="pageLayout" topLeftCell="A37" workbookViewId="0">
      <selection activeCell="B55" sqref="B55:Q67"/>
    </sheetView>
  </sheetViews>
  <sheetFormatPr defaultRowHeight="15"/>
  <cols>
    <col min="1" max="1" width="12.85546875" customWidth="1"/>
    <col min="2" max="3" width="4.85546875" customWidth="1"/>
    <col min="4" max="4" width="4.140625" customWidth="1"/>
    <col min="5" max="5" width="5.5703125" customWidth="1"/>
    <col min="6" max="6" width="5.7109375" customWidth="1"/>
    <col min="7" max="7" width="3.7109375" customWidth="1"/>
    <col min="8" max="8" width="4" customWidth="1"/>
    <col min="9" max="9" width="3.85546875" customWidth="1"/>
    <col min="10" max="10" width="5.28515625" customWidth="1"/>
    <col min="11" max="11" width="4.28515625" customWidth="1"/>
    <col min="12" max="12" width="6" customWidth="1"/>
    <col min="13" max="13" width="3.85546875" customWidth="1"/>
    <col min="14" max="14" width="13.5703125" customWidth="1"/>
    <col min="15" max="15" width="1.85546875" customWidth="1"/>
    <col min="16" max="16" width="2" customWidth="1"/>
    <col min="17" max="17" width="3" customWidth="1"/>
    <col min="18" max="18" width="12.85546875" customWidth="1"/>
    <col min="19" max="20" width="4.85546875" customWidth="1"/>
    <col min="21" max="21" width="4.140625" customWidth="1"/>
    <col min="22" max="22" width="5.5703125" customWidth="1"/>
    <col min="23" max="23" width="5.7109375" customWidth="1"/>
    <col min="24" max="24" width="3.7109375" customWidth="1"/>
    <col min="25" max="25" width="4" customWidth="1"/>
    <col min="26" max="26" width="3.85546875" customWidth="1"/>
    <col min="27" max="27" width="5.28515625" customWidth="1"/>
    <col min="28" max="28" width="4.28515625" customWidth="1"/>
    <col min="29" max="29" width="6" customWidth="1"/>
    <col min="30" max="30" width="3.85546875" customWidth="1"/>
    <col min="31" max="31" width="13.5703125" customWidth="1"/>
    <col min="32" max="32" width="1.85546875" customWidth="1"/>
    <col min="33" max="33" width="2" customWidth="1"/>
    <col min="34" max="34" width="3" customWidth="1"/>
  </cols>
  <sheetData>
    <row r="1" spans="1:34" ht="15.75" customHeight="1">
      <c r="A1" s="128"/>
      <c r="B1" s="40"/>
      <c r="C1" s="129" t="str">
        <f>IF(Sheet2!R2=FALSE,"AD","CLEAN")</f>
        <v>CLEAN</v>
      </c>
      <c r="D1" s="129"/>
      <c r="E1" s="129"/>
      <c r="F1" s="41"/>
      <c r="G1" s="41"/>
      <c r="H1" s="130" t="str">
        <f>IF((Sheet2!P2=1),"CC"," ")</f>
        <v xml:space="preserve"> </v>
      </c>
      <c r="I1" s="130"/>
      <c r="J1" s="41"/>
      <c r="K1" s="42"/>
      <c r="L1" s="42"/>
      <c r="M1" s="131" t="str">
        <f ca="1">(Date!V2)</f>
        <v>04/07/2015</v>
      </c>
      <c r="N1" s="132"/>
      <c r="O1" s="134" t="str">
        <f>(Code!J2)</f>
        <v>Contractor and Subcontractor Payments</v>
      </c>
      <c r="P1" s="134"/>
      <c r="Q1" s="111" t="str">
        <f>IF(Sheet2!R2=FALSE,"AD","CLEAN")</f>
        <v>CLEAN</v>
      </c>
      <c r="R1" s="133"/>
      <c r="S1" s="40"/>
      <c r="T1" s="129" t="str">
        <f>IF(Sheet2!R6=FALSE,"AD","CLEAN")</f>
        <v>AD</v>
      </c>
      <c r="U1" s="129"/>
      <c r="V1" s="129"/>
      <c r="W1" s="41"/>
      <c r="X1" s="41"/>
      <c r="Y1" s="130" t="str">
        <f>IF((Sheet2!P6=1),"CC"," ")</f>
        <v xml:space="preserve"> </v>
      </c>
      <c r="Z1" s="130"/>
      <c r="AA1" s="41"/>
      <c r="AB1" s="42"/>
      <c r="AC1" s="42"/>
      <c r="AD1" s="131" t="str">
        <f ca="1">(Date!V6)</f>
        <v>04/07/2015</v>
      </c>
      <c r="AE1" s="132"/>
      <c r="AF1" s="134" t="str">
        <f>(Code!J6)</f>
        <v>League of Women Voters of PA-Citizen Education Fund's Civic Leadership Award</v>
      </c>
      <c r="AG1" s="134"/>
      <c r="AH1" s="111" t="str">
        <f>IF(Sheet2!R6=FALSE,"AD","CLEAN")</f>
        <v>AD</v>
      </c>
    </row>
    <row r="2" spans="1:34" ht="15.75" customHeight="1">
      <c r="A2" s="128"/>
      <c r="B2" s="43" t="s">
        <v>0</v>
      </c>
      <c r="C2" s="113" t="str">
        <f>(Code!J2)</f>
        <v>Contractor and Subcontractor Payments</v>
      </c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4"/>
      <c r="O2" s="135"/>
      <c r="P2" s="135"/>
      <c r="Q2" s="112"/>
      <c r="R2" s="133"/>
      <c r="S2" s="43" t="s">
        <v>0</v>
      </c>
      <c r="T2" s="113" t="str">
        <f>Code!J6</f>
        <v>League of Women Voters of PA-Citizen Education Fund's Civic Leadership Award</v>
      </c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4"/>
      <c r="AF2" s="135"/>
      <c r="AG2" s="135"/>
      <c r="AH2" s="112"/>
    </row>
    <row r="3" spans="1:34" ht="9.75" customHeight="1">
      <c r="A3" s="128"/>
      <c r="B3" s="44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4"/>
      <c r="O3" s="135"/>
      <c r="P3" s="135"/>
      <c r="Q3" s="112"/>
      <c r="R3" s="133"/>
      <c r="S3" s="44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4"/>
      <c r="AF3" s="135"/>
      <c r="AG3" s="135"/>
      <c r="AH3" s="112"/>
    </row>
    <row r="4" spans="1:34" ht="11.25" customHeight="1">
      <c r="A4" s="128"/>
      <c r="B4" s="44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4"/>
      <c r="O4" s="135"/>
      <c r="P4" s="135"/>
      <c r="Q4" s="112"/>
      <c r="R4" s="133"/>
      <c r="S4" s="44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4"/>
      <c r="AF4" s="135"/>
      <c r="AG4" s="135"/>
      <c r="AH4" s="112"/>
    </row>
    <row r="5" spans="1:34" ht="15.75" customHeight="1">
      <c r="A5" s="128"/>
      <c r="B5" s="45" t="s">
        <v>1</v>
      </c>
      <c r="C5" s="115" t="str">
        <f>(Code!V2)</f>
        <v>PA House Commerce committee hearing</v>
      </c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6"/>
      <c r="O5" s="135"/>
      <c r="P5" s="135"/>
      <c r="Q5" s="3" t="str">
        <f>IF((Sheet2!P2=1),"CC"," ")</f>
        <v xml:space="preserve"> </v>
      </c>
      <c r="R5" s="133"/>
      <c r="S5" s="45" t="s">
        <v>1</v>
      </c>
      <c r="T5" s="115" t="str">
        <f>Code!V6</f>
        <v>League of Women Voters of PA-Citizen Education Fund honors former PA House of Representative and Senator Franklin Kury</v>
      </c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135"/>
      <c r="AG5" s="135"/>
      <c r="AH5" s="37" t="str">
        <f>IF((Sheet2!P6=1),"CC"," ")</f>
        <v xml:space="preserve"> </v>
      </c>
    </row>
    <row r="6" spans="1:34" ht="10.5" customHeight="1">
      <c r="A6" s="128"/>
      <c r="B6" s="44"/>
      <c r="C6" s="115"/>
      <c r="D6" s="115"/>
      <c r="E6" s="115"/>
      <c r="F6" s="115"/>
      <c r="G6" s="115"/>
      <c r="H6" s="115"/>
      <c r="I6" s="115"/>
      <c r="J6" s="115"/>
      <c r="K6" s="115"/>
      <c r="L6" s="115"/>
      <c r="M6" s="115"/>
      <c r="N6" s="116"/>
      <c r="O6" s="135"/>
      <c r="P6" s="135"/>
      <c r="Q6" s="117" t="s">
        <v>2</v>
      </c>
      <c r="R6" s="133"/>
      <c r="S6" s="44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  <c r="AE6" s="116"/>
      <c r="AF6" s="135"/>
      <c r="AG6" s="135"/>
      <c r="AH6" s="117" t="s">
        <v>2</v>
      </c>
    </row>
    <row r="7" spans="1:34" ht="17.25" customHeight="1">
      <c r="A7" s="128"/>
      <c r="B7" s="44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6"/>
      <c r="O7" s="135"/>
      <c r="P7" s="135"/>
      <c r="Q7" s="117"/>
      <c r="R7" s="133"/>
      <c r="S7" s="44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6"/>
      <c r="AF7" s="135"/>
      <c r="AG7" s="135"/>
      <c r="AH7" s="117"/>
    </row>
    <row r="8" spans="1:34" ht="15" customHeight="1">
      <c r="A8" s="128"/>
      <c r="B8" s="45" t="s">
        <v>3</v>
      </c>
      <c r="C8" s="1"/>
      <c r="D8" s="2"/>
      <c r="E8" s="1"/>
      <c r="F8" s="1"/>
      <c r="G8" s="1"/>
      <c r="H8" s="1"/>
      <c r="I8" s="1"/>
      <c r="J8" s="1"/>
      <c r="K8" s="1"/>
      <c r="L8" s="1"/>
      <c r="M8" s="1"/>
      <c r="N8" s="46"/>
      <c r="O8" s="135"/>
      <c r="P8" s="135"/>
      <c r="Q8" s="117"/>
      <c r="R8" s="133"/>
      <c r="S8" s="45" t="s">
        <v>3</v>
      </c>
      <c r="T8" s="1"/>
      <c r="U8" s="2"/>
      <c r="V8" s="1"/>
      <c r="W8" s="1"/>
      <c r="X8" s="1"/>
      <c r="Y8" s="1"/>
      <c r="Z8" s="1"/>
      <c r="AA8" s="1"/>
      <c r="AB8" s="1"/>
      <c r="AC8" s="1"/>
      <c r="AD8" s="1"/>
      <c r="AE8" s="46"/>
      <c r="AF8" s="135"/>
      <c r="AG8" s="135"/>
      <c r="AH8" s="117"/>
    </row>
    <row r="9" spans="1:34" ht="23.25" customHeight="1">
      <c r="A9" s="128"/>
      <c r="B9" s="44"/>
      <c r="C9" s="39"/>
      <c r="D9" s="1"/>
      <c r="E9" s="1"/>
      <c r="F9" s="1"/>
      <c r="G9" s="1"/>
      <c r="H9" s="1"/>
      <c r="I9" s="1"/>
      <c r="J9" s="1"/>
      <c r="K9" s="1"/>
      <c r="L9" s="1"/>
      <c r="M9" s="1"/>
      <c r="N9" s="46"/>
      <c r="O9" s="135"/>
      <c r="P9" s="135"/>
      <c r="Q9" s="26"/>
      <c r="R9" s="133"/>
      <c r="S9" s="44"/>
      <c r="T9" s="39"/>
      <c r="U9" s="1"/>
      <c r="V9" s="1"/>
      <c r="W9" s="1"/>
      <c r="X9" s="1"/>
      <c r="Y9" s="1"/>
      <c r="Z9" s="1"/>
      <c r="AA9" s="1"/>
      <c r="AB9" s="1"/>
      <c r="AC9" s="1"/>
      <c r="AD9" s="1"/>
      <c r="AE9" s="46"/>
      <c r="AF9" s="135"/>
      <c r="AG9" s="135"/>
      <c r="AH9" s="26"/>
    </row>
    <row r="10" spans="1:34" ht="15.75" customHeight="1">
      <c r="A10" s="128"/>
      <c r="B10" s="118" t="s">
        <v>4</v>
      </c>
      <c r="C10" s="119"/>
      <c r="D10" s="119"/>
      <c r="E10" s="119"/>
      <c r="F10" s="4"/>
      <c r="G10" s="120" t="s">
        <v>5</v>
      </c>
      <c r="H10" s="120"/>
      <c r="I10" s="120"/>
      <c r="J10" s="120"/>
      <c r="K10" s="5"/>
      <c r="L10" s="5"/>
      <c r="M10" s="5"/>
      <c r="N10" s="46"/>
      <c r="O10" s="135"/>
      <c r="P10" s="135"/>
      <c r="Q10" s="121" t="str">
        <f ca="1">(Date!V2)</f>
        <v>04/07/2015</v>
      </c>
      <c r="R10" s="133"/>
      <c r="S10" s="118" t="s">
        <v>4</v>
      </c>
      <c r="T10" s="119"/>
      <c r="U10" s="119"/>
      <c r="V10" s="119"/>
      <c r="W10" s="4"/>
      <c r="X10" s="120" t="s">
        <v>5</v>
      </c>
      <c r="Y10" s="120"/>
      <c r="Z10" s="120"/>
      <c r="AA10" s="120"/>
      <c r="AB10" s="5"/>
      <c r="AC10" s="5"/>
      <c r="AD10" s="5"/>
      <c r="AE10" s="46"/>
      <c r="AF10" s="135"/>
      <c r="AG10" s="135"/>
      <c r="AH10" s="121" t="str">
        <f ca="1">(Date!V6)</f>
        <v>04/07/2015</v>
      </c>
    </row>
    <row r="11" spans="1:34" ht="15.75">
      <c r="A11" s="128"/>
      <c r="B11" s="123" t="s">
        <v>6</v>
      </c>
      <c r="C11" s="124"/>
      <c r="D11" s="125"/>
      <c r="E11" s="125"/>
      <c r="F11" s="6"/>
      <c r="G11" s="126" t="s">
        <v>7</v>
      </c>
      <c r="H11" s="126"/>
      <c r="I11" s="127" t="s">
        <v>8</v>
      </c>
      <c r="J11" s="127"/>
      <c r="K11" s="6"/>
      <c r="L11" s="38" t="s">
        <v>6</v>
      </c>
      <c r="M11" s="137"/>
      <c r="N11" s="138"/>
      <c r="O11" s="135"/>
      <c r="P11" s="135"/>
      <c r="Q11" s="121"/>
      <c r="R11" s="133"/>
      <c r="S11" s="123" t="s">
        <v>6</v>
      </c>
      <c r="T11" s="124"/>
      <c r="U11" s="125"/>
      <c r="V11" s="125"/>
      <c r="W11" s="6"/>
      <c r="X11" s="126" t="s">
        <v>7</v>
      </c>
      <c r="Y11" s="126"/>
      <c r="Z11" s="127" t="s">
        <v>8</v>
      </c>
      <c r="AA11" s="127"/>
      <c r="AB11" s="6"/>
      <c r="AC11" s="38" t="s">
        <v>6</v>
      </c>
      <c r="AD11" s="137"/>
      <c r="AE11" s="138"/>
      <c r="AF11" s="135"/>
      <c r="AG11" s="135"/>
      <c r="AH11" s="121"/>
    </row>
    <row r="12" spans="1:34" ht="15.75">
      <c r="A12" s="128"/>
      <c r="B12" s="123" t="s">
        <v>9</v>
      </c>
      <c r="C12" s="124"/>
      <c r="D12" s="125"/>
      <c r="E12" s="125"/>
      <c r="F12" s="6"/>
      <c r="G12" s="126" t="s">
        <v>10</v>
      </c>
      <c r="H12" s="126"/>
      <c r="I12" s="126"/>
      <c r="J12" s="126"/>
      <c r="K12" s="6"/>
      <c r="L12" s="38" t="s">
        <v>9</v>
      </c>
      <c r="M12" s="137"/>
      <c r="N12" s="138"/>
      <c r="O12" s="135"/>
      <c r="P12" s="135"/>
      <c r="Q12" s="121"/>
      <c r="R12" s="133"/>
      <c r="S12" s="123" t="s">
        <v>9</v>
      </c>
      <c r="T12" s="124"/>
      <c r="U12" s="125"/>
      <c r="V12" s="125"/>
      <c r="W12" s="6"/>
      <c r="X12" s="126" t="s">
        <v>10</v>
      </c>
      <c r="Y12" s="126"/>
      <c r="Z12" s="126"/>
      <c r="AA12" s="126"/>
      <c r="AB12" s="6"/>
      <c r="AC12" s="38" t="s">
        <v>9</v>
      </c>
      <c r="AD12" s="137"/>
      <c r="AE12" s="138"/>
      <c r="AF12" s="135"/>
      <c r="AG12" s="135"/>
      <c r="AH12" s="121"/>
    </row>
    <row r="13" spans="1:34" ht="14.25" customHeight="1">
      <c r="A13" s="128"/>
      <c r="B13" s="99" t="s">
        <v>11</v>
      </c>
      <c r="C13" s="100"/>
      <c r="D13" s="101"/>
      <c r="E13" s="101"/>
      <c r="F13" s="47"/>
      <c r="G13" s="102" t="s">
        <v>12</v>
      </c>
      <c r="H13" s="102"/>
      <c r="I13" s="102"/>
      <c r="J13" s="102"/>
      <c r="K13" s="47"/>
      <c r="L13" s="48" t="s">
        <v>11</v>
      </c>
      <c r="M13" s="103"/>
      <c r="N13" s="104"/>
      <c r="O13" s="136"/>
      <c r="P13" s="136"/>
      <c r="Q13" s="122"/>
      <c r="R13" s="133"/>
      <c r="S13" s="99" t="s">
        <v>11</v>
      </c>
      <c r="T13" s="100"/>
      <c r="U13" s="101"/>
      <c r="V13" s="101"/>
      <c r="W13" s="47"/>
      <c r="X13" s="102" t="s">
        <v>12</v>
      </c>
      <c r="Y13" s="102"/>
      <c r="Z13" s="102"/>
      <c r="AA13" s="102"/>
      <c r="AB13" s="47"/>
      <c r="AC13" s="48" t="s">
        <v>11</v>
      </c>
      <c r="AD13" s="103"/>
      <c r="AE13" s="104"/>
      <c r="AF13" s="136"/>
      <c r="AG13" s="136"/>
      <c r="AH13" s="122"/>
    </row>
    <row r="14" spans="1:34" ht="15.75" customHeight="1">
      <c r="A14" s="128"/>
      <c r="B14" s="40"/>
      <c r="C14" s="129" t="str">
        <f>IF(Sheet2!R3=FALSE,"AD","CLEAN")</f>
        <v>AD</v>
      </c>
      <c r="D14" s="129"/>
      <c r="E14" s="129"/>
      <c r="F14" s="41"/>
      <c r="G14" s="41"/>
      <c r="H14" s="130" t="str">
        <f>IF((Sheet2!P3=1),"CC"," ")</f>
        <v xml:space="preserve"> </v>
      </c>
      <c r="I14" s="130"/>
      <c r="J14" s="41"/>
      <c r="K14" s="42"/>
      <c r="L14" s="42"/>
      <c r="M14" s="131" t="str">
        <f ca="1">(Date!V3)</f>
        <v>04/07/2015</v>
      </c>
      <c r="N14" s="132"/>
      <c r="O14" s="134" t="str">
        <f>(Code!J3)</f>
        <v>Contractor and Subcontractor Payments</v>
      </c>
      <c r="P14" s="134"/>
      <c r="Q14" s="111" t="str">
        <f>IF(Sheet2!R3=FALSE,"AD","CLEAN")</f>
        <v>AD</v>
      </c>
      <c r="R14" s="139"/>
      <c r="S14" s="40"/>
      <c r="T14" s="129" t="str">
        <f>IF(Sheet2!R7=FALSE,"AD","CLEAN")</f>
        <v>AD</v>
      </c>
      <c r="U14" s="129"/>
      <c r="V14" s="129"/>
      <c r="W14" s="41"/>
      <c r="X14" s="41"/>
      <c r="Y14" s="130" t="str">
        <f>IF((Sheet2!P7=1),"CC"," ")</f>
        <v xml:space="preserve"> </v>
      </c>
      <c r="Z14" s="130"/>
      <c r="AA14" s="41"/>
      <c r="AB14" s="42"/>
      <c r="AC14" s="42"/>
      <c r="AD14" s="131" t="str">
        <f ca="1">(Date!V7)</f>
        <v>04/06/2015</v>
      </c>
      <c r="AE14" s="132"/>
      <c r="AF14" s="105" t="str">
        <f>(Code!J7)</f>
        <v>Climate Impact on PA</v>
      </c>
      <c r="AG14" s="106"/>
      <c r="AH14" s="111" t="str">
        <f>IF(Sheet2!R7=FALSE,"AD","CLEAN")</f>
        <v>AD</v>
      </c>
    </row>
    <row r="15" spans="1:34" ht="15" customHeight="1">
      <c r="A15" s="128"/>
      <c r="B15" s="43" t="s">
        <v>0</v>
      </c>
      <c r="C15" s="113" t="str">
        <f>(Code!J3)</f>
        <v>Contractor and Subcontractor Payments</v>
      </c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4"/>
      <c r="O15" s="135"/>
      <c r="P15" s="135"/>
      <c r="Q15" s="112"/>
      <c r="R15" s="139"/>
      <c r="S15" s="43" t="s">
        <v>0</v>
      </c>
      <c r="T15" s="113" t="str">
        <f>Code!J7</f>
        <v>Climate Impact on PA</v>
      </c>
      <c r="U15" s="113"/>
      <c r="V15" s="113"/>
      <c r="W15" s="113"/>
      <c r="X15" s="113"/>
      <c r="Y15" s="113"/>
      <c r="Z15" s="113"/>
      <c r="AA15" s="113"/>
      <c r="AB15" s="113"/>
      <c r="AC15" s="113"/>
      <c r="AD15" s="113"/>
      <c r="AE15" s="114"/>
      <c r="AF15" s="107"/>
      <c r="AG15" s="108"/>
      <c r="AH15" s="112"/>
    </row>
    <row r="16" spans="1:34" ht="9.75" customHeight="1">
      <c r="A16" s="128"/>
      <c r="B16" s="44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4"/>
      <c r="O16" s="135"/>
      <c r="P16" s="135"/>
      <c r="Q16" s="112"/>
      <c r="R16" s="139"/>
      <c r="S16" s="44"/>
      <c r="T16" s="113"/>
      <c r="U16" s="113"/>
      <c r="V16" s="113"/>
      <c r="W16" s="113"/>
      <c r="X16" s="113"/>
      <c r="Y16" s="113"/>
      <c r="Z16" s="113"/>
      <c r="AA16" s="113"/>
      <c r="AB16" s="113"/>
      <c r="AC16" s="113"/>
      <c r="AD16" s="113"/>
      <c r="AE16" s="114"/>
      <c r="AF16" s="107"/>
      <c r="AG16" s="108"/>
      <c r="AH16" s="112"/>
    </row>
    <row r="17" spans="1:34" ht="11.25" customHeight="1">
      <c r="A17" s="128"/>
      <c r="B17" s="44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4"/>
      <c r="O17" s="135"/>
      <c r="P17" s="135"/>
      <c r="Q17" s="112"/>
      <c r="R17" s="139"/>
      <c r="S17" s="44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113"/>
      <c r="AE17" s="114"/>
      <c r="AF17" s="107"/>
      <c r="AG17" s="108"/>
      <c r="AH17" s="112"/>
    </row>
    <row r="18" spans="1:34" ht="15" customHeight="1">
      <c r="A18" s="128"/>
      <c r="B18" s="45" t="s">
        <v>1</v>
      </c>
      <c r="C18" s="115" t="str">
        <f>(Code!V3)</f>
        <v>PA House Commerce committee hearing</v>
      </c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6"/>
      <c r="O18" s="135"/>
      <c r="P18" s="135"/>
      <c r="Q18" s="3" t="str">
        <f>IF((Sheet2!P3=1),"CC"," ")</f>
        <v xml:space="preserve"> </v>
      </c>
      <c r="R18" s="139"/>
      <c r="S18" s="45" t="s">
        <v>1</v>
      </c>
      <c r="T18" s="115" t="str">
        <f>Code!V7</f>
        <v>Widener University School of Law forum with Ken Kimmell of Union of Concerned Scientists, as he discusses the latest in climate impact on PA</v>
      </c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6"/>
      <c r="AF18" s="107"/>
      <c r="AG18" s="108"/>
      <c r="AH18" s="37" t="str">
        <f>IF((Sheet2!P7=1),"CC"," ")</f>
        <v xml:space="preserve"> </v>
      </c>
    </row>
    <row r="19" spans="1:34" ht="10.5" customHeight="1">
      <c r="A19" s="128"/>
      <c r="B19" s="44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6"/>
      <c r="O19" s="135"/>
      <c r="P19" s="135"/>
      <c r="Q19" s="117" t="s">
        <v>2</v>
      </c>
      <c r="R19" s="139"/>
      <c r="S19" s="44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6"/>
      <c r="AF19" s="107"/>
      <c r="AG19" s="108"/>
      <c r="AH19" s="117" t="s">
        <v>2</v>
      </c>
    </row>
    <row r="20" spans="1:34" ht="12.75" customHeight="1">
      <c r="A20" s="128"/>
      <c r="B20" s="44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6"/>
      <c r="O20" s="135"/>
      <c r="P20" s="135"/>
      <c r="Q20" s="117"/>
      <c r="R20" s="139"/>
      <c r="S20" s="4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6"/>
      <c r="AF20" s="107"/>
      <c r="AG20" s="108"/>
      <c r="AH20" s="117"/>
    </row>
    <row r="21" spans="1:34" ht="15.75" customHeight="1">
      <c r="A21" s="128"/>
      <c r="B21" s="45" t="s">
        <v>3</v>
      </c>
      <c r="C21" s="1"/>
      <c r="D21" s="2"/>
      <c r="E21" s="1"/>
      <c r="F21" s="1"/>
      <c r="G21" s="1"/>
      <c r="H21" s="1"/>
      <c r="I21" s="1"/>
      <c r="J21" s="1"/>
      <c r="K21" s="1"/>
      <c r="L21" s="1"/>
      <c r="M21" s="1"/>
      <c r="N21" s="46"/>
      <c r="O21" s="135"/>
      <c r="P21" s="135"/>
      <c r="Q21" s="117"/>
      <c r="R21" s="139"/>
      <c r="S21" s="45" t="s">
        <v>3</v>
      </c>
      <c r="T21" s="1"/>
      <c r="U21" s="2"/>
      <c r="V21" s="1"/>
      <c r="W21" s="1"/>
      <c r="X21" s="1"/>
      <c r="Y21" s="1"/>
      <c r="Z21" s="1"/>
      <c r="AA21" s="1"/>
      <c r="AB21" s="1"/>
      <c r="AC21" s="1"/>
      <c r="AD21" s="1"/>
      <c r="AE21" s="46"/>
      <c r="AF21" s="107"/>
      <c r="AG21" s="108"/>
      <c r="AH21" s="117"/>
    </row>
    <row r="22" spans="1:34" ht="24" customHeight="1">
      <c r="A22" s="128"/>
      <c r="B22" s="44"/>
      <c r="C22" s="39"/>
      <c r="D22" s="1"/>
      <c r="E22" s="1"/>
      <c r="F22" s="1"/>
      <c r="G22" s="1"/>
      <c r="H22" s="1"/>
      <c r="I22" s="1"/>
      <c r="J22" s="1"/>
      <c r="K22" s="1"/>
      <c r="L22" s="1"/>
      <c r="M22" s="1"/>
      <c r="N22" s="46"/>
      <c r="O22" s="135"/>
      <c r="P22" s="135"/>
      <c r="Q22" s="26"/>
      <c r="R22" s="139"/>
      <c r="S22" s="44"/>
      <c r="T22" s="39"/>
      <c r="U22" s="1"/>
      <c r="V22" s="1"/>
      <c r="W22" s="1"/>
      <c r="X22" s="1"/>
      <c r="Y22" s="1"/>
      <c r="Z22" s="1"/>
      <c r="AA22" s="1"/>
      <c r="AB22" s="1"/>
      <c r="AC22" s="1"/>
      <c r="AD22" s="1"/>
      <c r="AE22" s="46"/>
      <c r="AF22" s="107"/>
      <c r="AG22" s="108"/>
      <c r="AH22" s="26"/>
    </row>
    <row r="23" spans="1:34" ht="15.75">
      <c r="A23" s="128"/>
      <c r="B23" s="118" t="s">
        <v>4</v>
      </c>
      <c r="C23" s="119"/>
      <c r="D23" s="119"/>
      <c r="E23" s="119"/>
      <c r="F23" s="4"/>
      <c r="G23" s="120" t="s">
        <v>5</v>
      </c>
      <c r="H23" s="120"/>
      <c r="I23" s="120"/>
      <c r="J23" s="120"/>
      <c r="K23" s="5"/>
      <c r="L23" s="5"/>
      <c r="M23" s="5"/>
      <c r="N23" s="46"/>
      <c r="O23" s="135"/>
      <c r="P23" s="135"/>
      <c r="Q23" s="121" t="str">
        <f ca="1">(Date!V3)</f>
        <v>04/07/2015</v>
      </c>
      <c r="R23" s="139"/>
      <c r="S23" s="118" t="s">
        <v>4</v>
      </c>
      <c r="T23" s="119"/>
      <c r="U23" s="119"/>
      <c r="V23" s="119"/>
      <c r="W23" s="4"/>
      <c r="X23" s="120" t="s">
        <v>5</v>
      </c>
      <c r="Y23" s="120"/>
      <c r="Z23" s="120"/>
      <c r="AA23" s="120"/>
      <c r="AB23" s="5"/>
      <c r="AC23" s="5"/>
      <c r="AD23" s="5"/>
      <c r="AE23" s="46"/>
      <c r="AF23" s="107"/>
      <c r="AG23" s="108"/>
      <c r="AH23" s="121" t="str">
        <f ca="1">(Date!V7)</f>
        <v>04/06/2015</v>
      </c>
    </row>
    <row r="24" spans="1:34" ht="15.75">
      <c r="A24" s="128"/>
      <c r="B24" s="123" t="s">
        <v>6</v>
      </c>
      <c r="C24" s="124"/>
      <c r="D24" s="125"/>
      <c r="E24" s="125"/>
      <c r="F24" s="6"/>
      <c r="G24" s="126" t="s">
        <v>7</v>
      </c>
      <c r="H24" s="126"/>
      <c r="I24" s="127" t="s">
        <v>8</v>
      </c>
      <c r="J24" s="127"/>
      <c r="K24" s="6"/>
      <c r="L24" s="38" t="s">
        <v>6</v>
      </c>
      <c r="M24" s="137"/>
      <c r="N24" s="138"/>
      <c r="O24" s="135"/>
      <c r="P24" s="135"/>
      <c r="Q24" s="121"/>
      <c r="R24" s="139"/>
      <c r="S24" s="123" t="s">
        <v>6</v>
      </c>
      <c r="T24" s="124"/>
      <c r="U24" s="125"/>
      <c r="V24" s="125"/>
      <c r="W24" s="6"/>
      <c r="X24" s="126" t="s">
        <v>7</v>
      </c>
      <c r="Y24" s="126"/>
      <c r="Z24" s="127" t="s">
        <v>8</v>
      </c>
      <c r="AA24" s="127"/>
      <c r="AB24" s="6"/>
      <c r="AC24" s="38" t="s">
        <v>6</v>
      </c>
      <c r="AD24" s="137"/>
      <c r="AE24" s="138"/>
      <c r="AF24" s="107"/>
      <c r="AG24" s="108"/>
      <c r="AH24" s="121"/>
    </row>
    <row r="25" spans="1:34" ht="15.75">
      <c r="A25" s="128"/>
      <c r="B25" s="123" t="s">
        <v>9</v>
      </c>
      <c r="C25" s="124"/>
      <c r="D25" s="125"/>
      <c r="E25" s="125"/>
      <c r="F25" s="6"/>
      <c r="G25" s="126" t="s">
        <v>10</v>
      </c>
      <c r="H25" s="126"/>
      <c r="I25" s="126"/>
      <c r="J25" s="126"/>
      <c r="K25" s="6"/>
      <c r="L25" s="38" t="s">
        <v>9</v>
      </c>
      <c r="M25" s="137"/>
      <c r="N25" s="138"/>
      <c r="O25" s="135"/>
      <c r="P25" s="135"/>
      <c r="Q25" s="121"/>
      <c r="R25" s="139"/>
      <c r="S25" s="123" t="s">
        <v>9</v>
      </c>
      <c r="T25" s="124"/>
      <c r="U25" s="125"/>
      <c r="V25" s="125"/>
      <c r="W25" s="6"/>
      <c r="X25" s="126" t="s">
        <v>10</v>
      </c>
      <c r="Y25" s="126"/>
      <c r="Z25" s="126"/>
      <c r="AA25" s="126"/>
      <c r="AB25" s="6"/>
      <c r="AC25" s="38" t="s">
        <v>9</v>
      </c>
      <c r="AD25" s="137"/>
      <c r="AE25" s="138"/>
      <c r="AF25" s="107"/>
      <c r="AG25" s="108"/>
      <c r="AH25" s="121"/>
    </row>
    <row r="26" spans="1:34" ht="14.25" customHeight="1">
      <c r="A26" s="128"/>
      <c r="B26" s="99" t="s">
        <v>11</v>
      </c>
      <c r="C26" s="100"/>
      <c r="D26" s="101"/>
      <c r="E26" s="101"/>
      <c r="F26" s="47"/>
      <c r="G26" s="102" t="s">
        <v>12</v>
      </c>
      <c r="H26" s="102"/>
      <c r="I26" s="102"/>
      <c r="J26" s="102"/>
      <c r="K26" s="47"/>
      <c r="L26" s="48" t="s">
        <v>11</v>
      </c>
      <c r="M26" s="103"/>
      <c r="N26" s="104"/>
      <c r="O26" s="136"/>
      <c r="P26" s="136"/>
      <c r="Q26" s="122"/>
      <c r="R26" s="139"/>
      <c r="S26" s="99" t="s">
        <v>11</v>
      </c>
      <c r="T26" s="100"/>
      <c r="U26" s="101"/>
      <c r="V26" s="101"/>
      <c r="W26" s="47"/>
      <c r="X26" s="102" t="s">
        <v>12</v>
      </c>
      <c r="Y26" s="102"/>
      <c r="Z26" s="102"/>
      <c r="AA26" s="102"/>
      <c r="AB26" s="47"/>
      <c r="AC26" s="48" t="s">
        <v>11</v>
      </c>
      <c r="AD26" s="103"/>
      <c r="AE26" s="104"/>
      <c r="AF26" s="109"/>
      <c r="AG26" s="110"/>
      <c r="AH26" s="122"/>
    </row>
    <row r="27" spans="1:34" ht="15.75" customHeight="1">
      <c r="A27" s="128"/>
      <c r="B27" s="40"/>
      <c r="C27" s="129" t="str">
        <f>IF(Sheet2!R4=FALSE,"AD","CLEAN")</f>
        <v>CLEAN</v>
      </c>
      <c r="D27" s="129"/>
      <c r="E27" s="129"/>
      <c r="F27" s="41"/>
      <c r="G27" s="41"/>
      <c r="H27" s="130" t="str">
        <f>IF((Sheet2!P4=1),"CC"," ")</f>
        <v xml:space="preserve"> </v>
      </c>
      <c r="I27" s="130"/>
      <c r="J27" s="41"/>
      <c r="K27" s="42"/>
      <c r="L27" s="42"/>
      <c r="M27" s="131" t="str">
        <f ca="1">(Date!V4)</f>
        <v>04/08/2015</v>
      </c>
      <c r="N27" s="132"/>
      <c r="O27" s="134" t="str">
        <f>(Code!J4)</f>
        <v>Medical Marijuana</v>
      </c>
      <c r="P27" s="134"/>
      <c r="Q27" s="111" t="str">
        <f>IF(Sheet2!R4=FALSE,"AD","CLEAN")</f>
        <v>CLEAN</v>
      </c>
      <c r="R27" s="133"/>
      <c r="S27" s="40"/>
      <c r="T27" s="129" t="str">
        <f>IF(Sheet2!R8=FALSE,"AD","CLEAN")</f>
        <v>CLEAN</v>
      </c>
      <c r="U27" s="129"/>
      <c r="V27" s="129"/>
      <c r="W27" s="41"/>
      <c r="X27" s="41"/>
      <c r="Y27" s="130" t="str">
        <f>IF((Sheet2!P8=1),"CC"," ")</f>
        <v xml:space="preserve"> </v>
      </c>
      <c r="Z27" s="130"/>
      <c r="AA27" s="41"/>
      <c r="AB27" s="42"/>
      <c r="AC27" s="42"/>
      <c r="AD27" s="131" t="str">
        <f ca="1">(Date!V8)</f>
        <v>04/07/2015</v>
      </c>
      <c r="AE27" s="132"/>
      <c r="AF27" s="105" t="str">
        <f>(Code!J8)</f>
        <v>PA Supreme Court</v>
      </c>
      <c r="AG27" s="106"/>
      <c r="AH27" s="111" t="str">
        <f>IF(Sheet2!R8=FALSE,"AD","CLEAN")</f>
        <v>CLEAN</v>
      </c>
    </row>
    <row r="28" spans="1:34" ht="15" customHeight="1">
      <c r="A28" s="128"/>
      <c r="B28" s="43" t="s">
        <v>0</v>
      </c>
      <c r="C28" s="113" t="str">
        <f>(Code!J4)</f>
        <v>Medical Marijuana</v>
      </c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4"/>
      <c r="O28" s="135"/>
      <c r="P28" s="135"/>
      <c r="Q28" s="112"/>
      <c r="R28" s="133"/>
      <c r="S28" s="43" t="s">
        <v>0</v>
      </c>
      <c r="T28" s="113" t="str">
        <f>(Code!J8)</f>
        <v>PA Supreme Court</v>
      </c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4"/>
      <c r="AF28" s="107"/>
      <c r="AG28" s="108"/>
      <c r="AH28" s="112"/>
    </row>
    <row r="29" spans="1:34" ht="9.75" customHeight="1">
      <c r="A29" s="128"/>
      <c r="B29" s="44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4"/>
      <c r="O29" s="135"/>
      <c r="P29" s="135"/>
      <c r="Q29" s="112"/>
      <c r="R29" s="133"/>
      <c r="S29" s="44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4"/>
      <c r="AF29" s="107"/>
      <c r="AG29" s="108"/>
      <c r="AH29" s="112"/>
    </row>
    <row r="30" spans="1:34" ht="11.25" customHeight="1">
      <c r="A30" s="128"/>
      <c r="B30" s="44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4"/>
      <c r="O30" s="135"/>
      <c r="P30" s="135"/>
      <c r="Q30" s="112"/>
      <c r="R30" s="133"/>
      <c r="S30" s="44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4"/>
      <c r="AF30" s="107"/>
      <c r="AG30" s="108"/>
      <c r="AH30" s="112"/>
    </row>
    <row r="31" spans="1:34" ht="15" customHeight="1">
      <c r="A31" s="128"/>
      <c r="B31" s="45" t="s">
        <v>1</v>
      </c>
      <c r="C31" s="115" t="str">
        <f>(Code!V4)</f>
        <v>PA House Health and Judiciary committees hearing</v>
      </c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6"/>
      <c r="O31" s="135"/>
      <c r="P31" s="135"/>
      <c r="Q31" s="3" t="str">
        <f>IF((Sheet2!P4=1),"CC"," ")</f>
        <v xml:space="preserve"> </v>
      </c>
      <c r="R31" s="133"/>
      <c r="S31" s="45" t="s">
        <v>1</v>
      </c>
      <c r="T31" s="115" t="str">
        <f>(Code!V8)</f>
        <v>Pittsburgh</v>
      </c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07"/>
      <c r="AG31" s="108"/>
      <c r="AH31" s="37" t="str">
        <f>IF((Sheet2!P8=1),"CC"," ")</f>
        <v xml:space="preserve"> </v>
      </c>
    </row>
    <row r="32" spans="1:34" ht="10.5" customHeight="1">
      <c r="A32" s="128"/>
      <c r="B32" s="44"/>
      <c r="C32" s="115"/>
      <c r="D32" s="115"/>
      <c r="E32" s="115"/>
      <c r="F32" s="115"/>
      <c r="G32" s="115"/>
      <c r="H32" s="115"/>
      <c r="I32" s="115"/>
      <c r="J32" s="115"/>
      <c r="K32" s="115"/>
      <c r="L32" s="115"/>
      <c r="M32" s="115"/>
      <c r="N32" s="116"/>
      <c r="O32" s="135"/>
      <c r="P32" s="135"/>
      <c r="Q32" s="117" t="s">
        <v>2</v>
      </c>
      <c r="R32" s="133"/>
      <c r="S32" s="44"/>
      <c r="T32" s="115"/>
      <c r="U32" s="115"/>
      <c r="V32" s="115"/>
      <c r="W32" s="115"/>
      <c r="X32" s="115"/>
      <c r="Y32" s="115"/>
      <c r="Z32" s="115"/>
      <c r="AA32" s="115"/>
      <c r="AB32" s="115"/>
      <c r="AC32" s="115"/>
      <c r="AD32" s="115"/>
      <c r="AE32" s="116"/>
      <c r="AF32" s="107"/>
      <c r="AG32" s="108"/>
      <c r="AH32" s="117" t="s">
        <v>2</v>
      </c>
    </row>
    <row r="33" spans="1:34" ht="12.75" customHeight="1">
      <c r="A33" s="128"/>
      <c r="B33" s="44"/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6"/>
      <c r="O33" s="135"/>
      <c r="P33" s="135"/>
      <c r="Q33" s="117"/>
      <c r="R33" s="133"/>
      <c r="S33" s="44"/>
      <c r="T33" s="115"/>
      <c r="U33" s="115"/>
      <c r="V33" s="115"/>
      <c r="W33" s="115"/>
      <c r="X33" s="115"/>
      <c r="Y33" s="115"/>
      <c r="Z33" s="115"/>
      <c r="AA33" s="115"/>
      <c r="AB33" s="115"/>
      <c r="AC33" s="115"/>
      <c r="AD33" s="115"/>
      <c r="AE33" s="116"/>
      <c r="AF33" s="107"/>
      <c r="AG33" s="108"/>
      <c r="AH33" s="117"/>
    </row>
    <row r="34" spans="1:34" ht="15.75" customHeight="1">
      <c r="A34" s="128"/>
      <c r="B34" s="45" t="s">
        <v>3</v>
      </c>
      <c r="C34" s="1"/>
      <c r="D34" s="2"/>
      <c r="E34" s="1"/>
      <c r="F34" s="1"/>
      <c r="G34" s="1"/>
      <c r="H34" s="1"/>
      <c r="I34" s="1"/>
      <c r="J34" s="1"/>
      <c r="K34" s="1"/>
      <c r="L34" s="1"/>
      <c r="M34" s="1"/>
      <c r="N34" s="46"/>
      <c r="O34" s="135"/>
      <c r="P34" s="135"/>
      <c r="Q34" s="117"/>
      <c r="R34" s="133"/>
      <c r="S34" s="45" t="s">
        <v>3</v>
      </c>
      <c r="T34" s="1"/>
      <c r="U34" s="2"/>
      <c r="V34" s="1"/>
      <c r="W34" s="1"/>
      <c r="X34" s="1"/>
      <c r="Y34" s="1"/>
      <c r="Z34" s="1"/>
      <c r="AA34" s="1"/>
      <c r="AB34" s="1"/>
      <c r="AC34" s="1"/>
      <c r="AD34" s="1"/>
      <c r="AE34" s="46"/>
      <c r="AF34" s="107"/>
      <c r="AG34" s="108"/>
      <c r="AH34" s="117"/>
    </row>
    <row r="35" spans="1:34" ht="23.25" customHeight="1">
      <c r="A35" s="128"/>
      <c r="B35" s="44"/>
      <c r="C35" s="39"/>
      <c r="D35" s="1"/>
      <c r="E35" s="1"/>
      <c r="F35" s="1"/>
      <c r="G35" s="1"/>
      <c r="H35" s="1"/>
      <c r="I35" s="1"/>
      <c r="J35" s="1"/>
      <c r="K35" s="1"/>
      <c r="L35" s="1"/>
      <c r="M35" s="1"/>
      <c r="N35" s="46"/>
      <c r="O35" s="135"/>
      <c r="P35" s="135"/>
      <c r="Q35" s="26"/>
      <c r="R35" s="133"/>
      <c r="S35" s="44"/>
      <c r="T35" s="39"/>
      <c r="U35" s="1"/>
      <c r="V35" s="1"/>
      <c r="W35" s="1"/>
      <c r="X35" s="1"/>
      <c r="Y35" s="1"/>
      <c r="Z35" s="1"/>
      <c r="AA35" s="1"/>
      <c r="AB35" s="1"/>
      <c r="AC35" s="1"/>
      <c r="AD35" s="1"/>
      <c r="AE35" s="46"/>
      <c r="AF35" s="107"/>
      <c r="AG35" s="108"/>
      <c r="AH35" s="26"/>
    </row>
    <row r="36" spans="1:34" ht="15.75">
      <c r="A36" s="128"/>
      <c r="B36" s="118" t="s">
        <v>4</v>
      </c>
      <c r="C36" s="119"/>
      <c r="D36" s="119"/>
      <c r="E36" s="119"/>
      <c r="F36" s="4"/>
      <c r="G36" s="120" t="s">
        <v>5</v>
      </c>
      <c r="H36" s="120"/>
      <c r="I36" s="120"/>
      <c r="J36" s="120"/>
      <c r="K36" s="5"/>
      <c r="L36" s="5"/>
      <c r="M36" s="5"/>
      <c r="N36" s="46"/>
      <c r="O36" s="135"/>
      <c r="P36" s="135"/>
      <c r="Q36" s="121" t="str">
        <f ca="1">(Date!V4)</f>
        <v>04/08/2015</v>
      </c>
      <c r="R36" s="133"/>
      <c r="S36" s="118" t="s">
        <v>4</v>
      </c>
      <c r="T36" s="119"/>
      <c r="U36" s="119"/>
      <c r="V36" s="119"/>
      <c r="W36" s="4"/>
      <c r="X36" s="120" t="s">
        <v>5</v>
      </c>
      <c r="Y36" s="120"/>
      <c r="Z36" s="120"/>
      <c r="AA36" s="120"/>
      <c r="AB36" s="5"/>
      <c r="AC36" s="5"/>
      <c r="AD36" s="5"/>
      <c r="AE36" s="46"/>
      <c r="AF36" s="107"/>
      <c r="AG36" s="108"/>
      <c r="AH36" s="121" t="str">
        <f ca="1">(Date!V8)</f>
        <v>04/07/2015</v>
      </c>
    </row>
    <row r="37" spans="1:34" ht="15.75">
      <c r="A37" s="128"/>
      <c r="B37" s="123" t="s">
        <v>6</v>
      </c>
      <c r="C37" s="124"/>
      <c r="D37" s="125"/>
      <c r="E37" s="125"/>
      <c r="F37" s="6"/>
      <c r="G37" s="126" t="s">
        <v>7</v>
      </c>
      <c r="H37" s="126"/>
      <c r="I37" s="127" t="s">
        <v>8</v>
      </c>
      <c r="J37" s="127"/>
      <c r="K37" s="6"/>
      <c r="L37" s="38" t="s">
        <v>6</v>
      </c>
      <c r="M37" s="137"/>
      <c r="N37" s="138"/>
      <c r="O37" s="135"/>
      <c r="P37" s="135"/>
      <c r="Q37" s="121"/>
      <c r="R37" s="133"/>
      <c r="S37" s="123" t="s">
        <v>6</v>
      </c>
      <c r="T37" s="124"/>
      <c r="U37" s="125"/>
      <c r="V37" s="125"/>
      <c r="W37" s="6"/>
      <c r="X37" s="126" t="s">
        <v>7</v>
      </c>
      <c r="Y37" s="126"/>
      <c r="Z37" s="127" t="s">
        <v>8</v>
      </c>
      <c r="AA37" s="127"/>
      <c r="AB37" s="6"/>
      <c r="AC37" s="38" t="s">
        <v>6</v>
      </c>
      <c r="AD37" s="137"/>
      <c r="AE37" s="138"/>
      <c r="AF37" s="107"/>
      <c r="AG37" s="108"/>
      <c r="AH37" s="121"/>
    </row>
    <row r="38" spans="1:34" ht="15.75">
      <c r="A38" s="128"/>
      <c r="B38" s="123" t="s">
        <v>9</v>
      </c>
      <c r="C38" s="124"/>
      <c r="D38" s="125"/>
      <c r="E38" s="125"/>
      <c r="F38" s="6"/>
      <c r="G38" s="126" t="s">
        <v>10</v>
      </c>
      <c r="H38" s="126"/>
      <c r="I38" s="126"/>
      <c r="J38" s="126"/>
      <c r="K38" s="6"/>
      <c r="L38" s="38" t="s">
        <v>9</v>
      </c>
      <c r="M38" s="137"/>
      <c r="N38" s="138"/>
      <c r="O38" s="135"/>
      <c r="P38" s="135"/>
      <c r="Q38" s="121"/>
      <c r="R38" s="133"/>
      <c r="S38" s="123" t="s">
        <v>9</v>
      </c>
      <c r="T38" s="124"/>
      <c r="U38" s="125"/>
      <c r="V38" s="125"/>
      <c r="W38" s="6"/>
      <c r="X38" s="126" t="s">
        <v>10</v>
      </c>
      <c r="Y38" s="126"/>
      <c r="Z38" s="126"/>
      <c r="AA38" s="126"/>
      <c r="AB38" s="6"/>
      <c r="AC38" s="38" t="s">
        <v>9</v>
      </c>
      <c r="AD38" s="137"/>
      <c r="AE38" s="138"/>
      <c r="AF38" s="107"/>
      <c r="AG38" s="108"/>
      <c r="AH38" s="121"/>
    </row>
    <row r="39" spans="1:34" ht="14.25" customHeight="1">
      <c r="A39" s="128"/>
      <c r="B39" s="99" t="s">
        <v>11</v>
      </c>
      <c r="C39" s="100"/>
      <c r="D39" s="101"/>
      <c r="E39" s="101"/>
      <c r="F39" s="47"/>
      <c r="G39" s="102" t="s">
        <v>12</v>
      </c>
      <c r="H39" s="102"/>
      <c r="I39" s="102"/>
      <c r="J39" s="102"/>
      <c r="K39" s="47"/>
      <c r="L39" s="48" t="s">
        <v>11</v>
      </c>
      <c r="M39" s="103"/>
      <c r="N39" s="104"/>
      <c r="O39" s="136"/>
      <c r="P39" s="136"/>
      <c r="Q39" s="122"/>
      <c r="R39" s="133"/>
      <c r="S39" s="99" t="s">
        <v>11</v>
      </c>
      <c r="T39" s="100"/>
      <c r="U39" s="101"/>
      <c r="V39" s="101"/>
      <c r="W39" s="47"/>
      <c r="X39" s="102" t="s">
        <v>12</v>
      </c>
      <c r="Y39" s="102"/>
      <c r="Z39" s="102"/>
      <c r="AA39" s="102"/>
      <c r="AB39" s="47"/>
      <c r="AC39" s="48" t="s">
        <v>11</v>
      </c>
      <c r="AD39" s="103"/>
      <c r="AE39" s="104"/>
      <c r="AF39" s="109"/>
      <c r="AG39" s="110"/>
      <c r="AH39" s="122"/>
    </row>
    <row r="40" spans="1:34" ht="15.75" customHeight="1">
      <c r="A40" s="128"/>
      <c r="B40" s="40"/>
      <c r="C40" s="129" t="str">
        <f>IF(Sheet2!R5=FALSE,"AD","CLEAN")</f>
        <v>AD</v>
      </c>
      <c r="D40" s="129"/>
      <c r="E40" s="129"/>
      <c r="F40" s="41"/>
      <c r="G40" s="41"/>
      <c r="H40" s="130" t="str">
        <f>IF((Sheet2!P5=1),"CC"," ")</f>
        <v xml:space="preserve"> </v>
      </c>
      <c r="I40" s="130"/>
      <c r="J40" s="41"/>
      <c r="K40" s="42"/>
      <c r="L40" s="42"/>
      <c r="M40" s="131" t="str">
        <f ca="1">(Date!V5)</f>
        <v>04/08/2015</v>
      </c>
      <c r="N40" s="132"/>
      <c r="O40" s="134" t="str">
        <f>(Code!J5)</f>
        <v>Medical Marijuana</v>
      </c>
      <c r="P40" s="134"/>
      <c r="Q40" s="111" t="str">
        <f>IF(Sheet2!R5=FALSE,"AD","CLEAN")</f>
        <v>AD</v>
      </c>
      <c r="R40" s="133"/>
      <c r="S40" s="40"/>
      <c r="T40" s="129" t="str">
        <f>IF(Sheet2!R9=FALSE,"AD","CLEAN")</f>
        <v>CLEAN</v>
      </c>
      <c r="U40" s="129"/>
      <c r="V40" s="129"/>
      <c r="W40" s="41"/>
      <c r="X40" s="41"/>
      <c r="Y40" s="130" t="str">
        <f>IF((Sheet2!P9=1),"CC"," ")</f>
        <v xml:space="preserve"> </v>
      </c>
      <c r="Z40" s="130"/>
      <c r="AA40" s="41"/>
      <c r="AB40" s="42"/>
      <c r="AC40" s="42"/>
      <c r="AD40" s="131" t="str">
        <f ca="1">(Date!V9)</f>
        <v>04/08/2015</v>
      </c>
      <c r="AE40" s="132"/>
      <c r="AF40" s="134" t="str">
        <f>(Code!J9)</f>
        <v>PA Supreme Court</v>
      </c>
      <c r="AG40" s="134"/>
      <c r="AH40" s="111" t="str">
        <f>IF(Sheet2!R9=FALSE,"AD","CLEAN")</f>
        <v>CLEAN</v>
      </c>
    </row>
    <row r="41" spans="1:34">
      <c r="A41" s="128"/>
      <c r="B41" s="43" t="s">
        <v>0</v>
      </c>
      <c r="C41" s="113" t="str">
        <f>(Code!J5)</f>
        <v>Medical Marijuana</v>
      </c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4"/>
      <c r="O41" s="135"/>
      <c r="P41" s="135"/>
      <c r="Q41" s="112"/>
      <c r="R41" s="133"/>
      <c r="S41" s="43" t="s">
        <v>0</v>
      </c>
      <c r="T41" s="113" t="str">
        <f>(Code!J9)</f>
        <v>PA Supreme Court</v>
      </c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4"/>
      <c r="AF41" s="135"/>
      <c r="AG41" s="135"/>
      <c r="AH41" s="112"/>
    </row>
    <row r="42" spans="1:34" ht="9.75" customHeight="1">
      <c r="A42" s="128"/>
      <c r="B42" s="44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4"/>
      <c r="O42" s="135"/>
      <c r="P42" s="135"/>
      <c r="Q42" s="112"/>
      <c r="R42" s="133"/>
      <c r="S42" s="44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4"/>
      <c r="AF42" s="135"/>
      <c r="AG42" s="135"/>
      <c r="AH42" s="112"/>
    </row>
    <row r="43" spans="1:34" ht="11.25" customHeight="1">
      <c r="A43" s="128"/>
      <c r="B43" s="44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4"/>
      <c r="O43" s="135"/>
      <c r="P43" s="135"/>
      <c r="Q43" s="112"/>
      <c r="R43" s="133"/>
      <c r="S43" s="44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4"/>
      <c r="AF43" s="135"/>
      <c r="AG43" s="135"/>
      <c r="AH43" s="112"/>
    </row>
    <row r="44" spans="1:34">
      <c r="A44" s="128"/>
      <c r="B44" s="45" t="s">
        <v>1</v>
      </c>
      <c r="C44" s="115" t="str">
        <f>(Code!V5)</f>
        <v>PA House Health and Judiciary committees hearing</v>
      </c>
      <c r="D44" s="115"/>
      <c r="E44" s="115"/>
      <c r="F44" s="115"/>
      <c r="G44" s="115"/>
      <c r="H44" s="115"/>
      <c r="I44" s="115"/>
      <c r="J44" s="115"/>
      <c r="K44" s="115"/>
      <c r="L44" s="115"/>
      <c r="M44" s="115"/>
      <c r="N44" s="116"/>
      <c r="O44" s="135"/>
      <c r="P44" s="135"/>
      <c r="Q44" s="32" t="str">
        <f>IF((Sheet2!P5=1),"CC"," ")</f>
        <v xml:space="preserve"> </v>
      </c>
      <c r="R44" s="133"/>
      <c r="S44" s="45" t="s">
        <v>1</v>
      </c>
      <c r="T44" s="115" t="str">
        <f>(Code!V9)</f>
        <v>Pittsburgh</v>
      </c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6"/>
      <c r="AF44" s="135"/>
      <c r="AG44" s="135"/>
      <c r="AH44" s="37" t="str">
        <f>IF((Sheet2!P9=1),"CC"," ")</f>
        <v xml:space="preserve"> </v>
      </c>
    </row>
    <row r="45" spans="1:34" ht="10.5" customHeight="1">
      <c r="A45" s="128"/>
      <c r="B45" s="44"/>
      <c r="C45" s="115"/>
      <c r="D45" s="115"/>
      <c r="E45" s="115"/>
      <c r="F45" s="115"/>
      <c r="G45" s="115"/>
      <c r="H45" s="115"/>
      <c r="I45" s="115"/>
      <c r="J45" s="115"/>
      <c r="K45" s="115"/>
      <c r="L45" s="115"/>
      <c r="M45" s="115"/>
      <c r="N45" s="116"/>
      <c r="O45" s="135"/>
      <c r="P45" s="135"/>
      <c r="Q45" s="117" t="s">
        <v>2</v>
      </c>
      <c r="R45" s="133"/>
      <c r="S45" s="44"/>
      <c r="T45" s="115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6"/>
      <c r="AF45" s="135"/>
      <c r="AG45" s="135"/>
      <c r="AH45" s="117" t="s">
        <v>2</v>
      </c>
    </row>
    <row r="46" spans="1:34" ht="12.75" customHeight="1">
      <c r="A46" s="128"/>
      <c r="B46" s="44"/>
      <c r="C46" s="115"/>
      <c r="D46" s="115"/>
      <c r="E46" s="115"/>
      <c r="F46" s="115"/>
      <c r="G46" s="115"/>
      <c r="H46" s="115"/>
      <c r="I46" s="115"/>
      <c r="J46" s="115"/>
      <c r="K46" s="115"/>
      <c r="L46" s="115"/>
      <c r="M46" s="115"/>
      <c r="N46" s="116"/>
      <c r="O46" s="135"/>
      <c r="P46" s="135"/>
      <c r="Q46" s="117"/>
      <c r="R46" s="133"/>
      <c r="S46" s="44"/>
      <c r="T46" s="115"/>
      <c r="U46" s="115"/>
      <c r="V46" s="115"/>
      <c r="W46" s="115"/>
      <c r="X46" s="115"/>
      <c r="Y46" s="115"/>
      <c r="Z46" s="115"/>
      <c r="AA46" s="115"/>
      <c r="AB46" s="115"/>
      <c r="AC46" s="115"/>
      <c r="AD46" s="115"/>
      <c r="AE46" s="116"/>
      <c r="AF46" s="135"/>
      <c r="AG46" s="135"/>
      <c r="AH46" s="117"/>
    </row>
    <row r="47" spans="1:34" ht="15.75" customHeight="1">
      <c r="A47" s="128"/>
      <c r="B47" s="45" t="s">
        <v>3</v>
      </c>
      <c r="C47" s="1"/>
      <c r="D47" s="2"/>
      <c r="E47" s="1"/>
      <c r="F47" s="1"/>
      <c r="G47" s="1"/>
      <c r="H47" s="1"/>
      <c r="I47" s="1"/>
      <c r="J47" s="1"/>
      <c r="K47" s="1"/>
      <c r="L47" s="1"/>
      <c r="M47" s="1"/>
      <c r="N47" s="46"/>
      <c r="O47" s="135"/>
      <c r="P47" s="135"/>
      <c r="Q47" s="117"/>
      <c r="R47" s="133"/>
      <c r="S47" s="45" t="s">
        <v>3</v>
      </c>
      <c r="T47" s="1"/>
      <c r="U47" s="2"/>
      <c r="V47" s="1"/>
      <c r="W47" s="1"/>
      <c r="X47" s="1"/>
      <c r="Y47" s="1"/>
      <c r="Z47" s="1"/>
      <c r="AA47" s="1"/>
      <c r="AB47" s="1"/>
      <c r="AC47" s="1"/>
      <c r="AD47" s="1"/>
      <c r="AE47" s="46"/>
      <c r="AF47" s="135"/>
      <c r="AG47" s="135"/>
      <c r="AH47" s="117"/>
    </row>
    <row r="48" spans="1:34" ht="22.5" customHeight="1">
      <c r="A48" s="128"/>
      <c r="B48" s="44"/>
      <c r="C48" s="39"/>
      <c r="D48" s="1"/>
      <c r="E48" s="1"/>
      <c r="F48" s="1"/>
      <c r="G48" s="1"/>
      <c r="H48" s="1"/>
      <c r="I48" s="1"/>
      <c r="J48" s="1"/>
      <c r="K48" s="1"/>
      <c r="L48" s="1"/>
      <c r="M48" s="1"/>
      <c r="N48" s="46"/>
      <c r="O48" s="135"/>
      <c r="P48" s="135"/>
      <c r="Q48" s="26"/>
      <c r="R48" s="133"/>
      <c r="S48" s="44"/>
      <c r="T48" s="39"/>
      <c r="U48" s="1"/>
      <c r="V48" s="1"/>
      <c r="W48" s="1"/>
      <c r="X48" s="1"/>
      <c r="Y48" s="1"/>
      <c r="Z48" s="1"/>
      <c r="AA48" s="1"/>
      <c r="AB48" s="1"/>
      <c r="AC48" s="1"/>
      <c r="AD48" s="1"/>
      <c r="AE48" s="46"/>
      <c r="AF48" s="135"/>
      <c r="AG48" s="135"/>
      <c r="AH48" s="26"/>
    </row>
    <row r="49" spans="1:34" ht="15.75" customHeight="1">
      <c r="A49" s="128"/>
      <c r="B49" s="118" t="s">
        <v>4</v>
      </c>
      <c r="C49" s="119"/>
      <c r="D49" s="119"/>
      <c r="E49" s="119"/>
      <c r="F49" s="4"/>
      <c r="G49" s="120" t="s">
        <v>5</v>
      </c>
      <c r="H49" s="120"/>
      <c r="I49" s="120"/>
      <c r="J49" s="120"/>
      <c r="K49" s="5"/>
      <c r="L49" s="5"/>
      <c r="M49" s="5"/>
      <c r="N49" s="46"/>
      <c r="O49" s="135"/>
      <c r="P49" s="135"/>
      <c r="Q49" s="121" t="str">
        <f ca="1">(Date!V5)</f>
        <v>04/08/2015</v>
      </c>
      <c r="R49" s="133"/>
      <c r="S49" s="118" t="s">
        <v>4</v>
      </c>
      <c r="T49" s="119"/>
      <c r="U49" s="119"/>
      <c r="V49" s="119"/>
      <c r="W49" s="4"/>
      <c r="X49" s="120" t="s">
        <v>5</v>
      </c>
      <c r="Y49" s="120"/>
      <c r="Z49" s="120"/>
      <c r="AA49" s="120"/>
      <c r="AB49" s="5"/>
      <c r="AC49" s="5"/>
      <c r="AD49" s="5"/>
      <c r="AE49" s="46"/>
      <c r="AF49" s="135"/>
      <c r="AG49" s="135"/>
      <c r="AH49" s="121" t="str">
        <f ca="1">(Date!V9)</f>
        <v>04/08/2015</v>
      </c>
    </row>
    <row r="50" spans="1:34" ht="15.75">
      <c r="A50" s="128"/>
      <c r="B50" s="123" t="s">
        <v>6</v>
      </c>
      <c r="C50" s="124"/>
      <c r="D50" s="125"/>
      <c r="E50" s="125"/>
      <c r="F50" s="6"/>
      <c r="G50" s="126" t="s">
        <v>7</v>
      </c>
      <c r="H50" s="126"/>
      <c r="I50" s="127" t="s">
        <v>8</v>
      </c>
      <c r="J50" s="127"/>
      <c r="K50" s="6"/>
      <c r="L50" s="38" t="s">
        <v>6</v>
      </c>
      <c r="M50" s="137"/>
      <c r="N50" s="138"/>
      <c r="O50" s="135"/>
      <c r="P50" s="135"/>
      <c r="Q50" s="121"/>
      <c r="R50" s="133"/>
      <c r="S50" s="123" t="s">
        <v>6</v>
      </c>
      <c r="T50" s="124"/>
      <c r="U50" s="125"/>
      <c r="V50" s="125"/>
      <c r="W50" s="6"/>
      <c r="X50" s="126" t="s">
        <v>7</v>
      </c>
      <c r="Y50" s="126"/>
      <c r="Z50" s="127" t="s">
        <v>8</v>
      </c>
      <c r="AA50" s="127"/>
      <c r="AB50" s="6"/>
      <c r="AC50" s="38" t="s">
        <v>6</v>
      </c>
      <c r="AD50" s="137"/>
      <c r="AE50" s="138"/>
      <c r="AF50" s="135"/>
      <c r="AG50" s="135"/>
      <c r="AH50" s="121"/>
    </row>
    <row r="51" spans="1:34" ht="15.75">
      <c r="A51" s="128"/>
      <c r="B51" s="123" t="s">
        <v>9</v>
      </c>
      <c r="C51" s="124"/>
      <c r="D51" s="125"/>
      <c r="E51" s="125"/>
      <c r="F51" s="6"/>
      <c r="G51" s="126" t="s">
        <v>10</v>
      </c>
      <c r="H51" s="126"/>
      <c r="I51" s="126"/>
      <c r="J51" s="126"/>
      <c r="K51" s="6"/>
      <c r="L51" s="38" t="s">
        <v>9</v>
      </c>
      <c r="M51" s="137"/>
      <c r="N51" s="138"/>
      <c r="O51" s="135"/>
      <c r="P51" s="135"/>
      <c r="Q51" s="121"/>
      <c r="R51" s="133"/>
      <c r="S51" s="123" t="s">
        <v>9</v>
      </c>
      <c r="T51" s="124"/>
      <c r="U51" s="125"/>
      <c r="V51" s="125"/>
      <c r="W51" s="6"/>
      <c r="X51" s="126" t="s">
        <v>10</v>
      </c>
      <c r="Y51" s="126"/>
      <c r="Z51" s="126"/>
      <c r="AA51" s="126"/>
      <c r="AB51" s="6"/>
      <c r="AC51" s="38" t="s">
        <v>9</v>
      </c>
      <c r="AD51" s="137"/>
      <c r="AE51" s="138"/>
      <c r="AF51" s="135"/>
      <c r="AG51" s="135"/>
      <c r="AH51" s="121"/>
    </row>
    <row r="52" spans="1:34" ht="14.25" customHeight="1">
      <c r="A52" s="128"/>
      <c r="B52" s="99" t="s">
        <v>11</v>
      </c>
      <c r="C52" s="100"/>
      <c r="D52" s="101"/>
      <c r="E52" s="101"/>
      <c r="F52" s="47"/>
      <c r="G52" s="102" t="s">
        <v>12</v>
      </c>
      <c r="H52" s="102"/>
      <c r="I52" s="102"/>
      <c r="J52" s="102"/>
      <c r="K52" s="47"/>
      <c r="L52" s="48" t="s">
        <v>11</v>
      </c>
      <c r="M52" s="103"/>
      <c r="N52" s="104"/>
      <c r="O52" s="136"/>
      <c r="P52" s="136"/>
      <c r="Q52" s="122"/>
      <c r="R52" s="133"/>
      <c r="S52" s="99" t="s">
        <v>11</v>
      </c>
      <c r="T52" s="100"/>
      <c r="U52" s="101"/>
      <c r="V52" s="101"/>
      <c r="W52" s="47"/>
      <c r="X52" s="102" t="s">
        <v>12</v>
      </c>
      <c r="Y52" s="102"/>
      <c r="Z52" s="102"/>
      <c r="AA52" s="102"/>
      <c r="AB52" s="47"/>
      <c r="AC52" s="48" t="s">
        <v>11</v>
      </c>
      <c r="AD52" s="103"/>
      <c r="AE52" s="104"/>
      <c r="AF52" s="136"/>
      <c r="AG52" s="136"/>
      <c r="AH52" s="122"/>
    </row>
    <row r="53" spans="1:34" ht="14.25" customHeight="1">
      <c r="A53" s="33"/>
      <c r="B53" s="34"/>
      <c r="C53" s="34"/>
      <c r="D53" s="35"/>
      <c r="E53" s="35"/>
      <c r="F53" s="6"/>
      <c r="G53" s="28"/>
      <c r="H53" s="28"/>
      <c r="I53" s="28"/>
      <c r="J53" s="28"/>
      <c r="K53" s="6"/>
      <c r="L53" s="28"/>
      <c r="M53" s="29"/>
      <c r="N53" s="30"/>
      <c r="O53" s="27"/>
      <c r="P53" s="27"/>
      <c r="Q53" s="31"/>
      <c r="R53" s="33"/>
      <c r="S53" s="34"/>
      <c r="T53" s="34"/>
      <c r="U53" s="35"/>
      <c r="V53" s="35"/>
      <c r="W53" s="6"/>
      <c r="X53" s="28"/>
      <c r="Y53" s="28"/>
      <c r="Z53" s="28"/>
      <c r="AA53" s="28"/>
      <c r="AB53" s="6"/>
      <c r="AC53" s="28"/>
      <c r="AD53" s="29"/>
      <c r="AE53" s="30"/>
      <c r="AF53" s="27"/>
      <c r="AG53" s="27"/>
      <c r="AH53" s="31"/>
    </row>
    <row r="54" spans="1:34" s="49" customFormat="1" ht="4.5" customHeight="1"/>
    <row r="55" spans="1:34" ht="15.75" customHeight="1">
      <c r="A55" s="128"/>
      <c r="B55" s="40"/>
      <c r="C55" s="129" t="str">
        <f>IF(Sheet2!R10=FALSE,"AD","CLEAN")</f>
        <v>CLEAN</v>
      </c>
      <c r="D55" s="129"/>
      <c r="E55" s="129"/>
      <c r="F55" s="41"/>
      <c r="G55" s="41"/>
      <c r="H55" s="130" t="str">
        <f>IF((Sheet2!P10=1),"CC"," ")</f>
        <v xml:space="preserve"> </v>
      </c>
      <c r="I55" s="130"/>
      <c r="J55" s="41"/>
      <c r="K55" s="42"/>
      <c r="L55" s="42"/>
      <c r="M55" s="131" t="str">
        <f ca="1">(Date!V10)</f>
        <v>04/09/2015</v>
      </c>
      <c r="N55" s="132"/>
      <c r="O55" s="105" t="str">
        <f>(Code!J10)</f>
        <v>PA Public Utility Commission Meeting</v>
      </c>
      <c r="P55" s="106"/>
      <c r="Q55" s="111" t="str">
        <f>IF(Sheet2!R10=FALSE,"AD","CLEAN")</f>
        <v>CLEAN</v>
      </c>
      <c r="R55" s="133"/>
      <c r="S55" s="40"/>
      <c r="T55" s="129" t="str">
        <f>IF(Sheet2!R14=FALSE,"AD","CLEAN")</f>
        <v>AD</v>
      </c>
      <c r="U55" s="129"/>
      <c r="V55" s="129"/>
      <c r="W55" s="41"/>
      <c r="X55" s="41"/>
      <c r="Y55" s="130" t="str">
        <f>IF((Sheet2!P14=1),"CC"," ")</f>
        <v xml:space="preserve"> </v>
      </c>
      <c r="Z55" s="130"/>
      <c r="AA55" s="41"/>
      <c r="AB55" s="42"/>
      <c r="AC55" s="42"/>
      <c r="AD55" s="131" t="str">
        <f>(Date!V14)</f>
        <v/>
      </c>
      <c r="AE55" s="132"/>
      <c r="AF55" s="105" t="str">
        <f>(Code!J14)</f>
        <v/>
      </c>
      <c r="AG55" s="106"/>
      <c r="AH55" s="111" t="str">
        <f>IF(Sheet2!R14=FALSE,"AD","CLEAN")</f>
        <v>AD</v>
      </c>
    </row>
    <row r="56" spans="1:34" ht="15.75" customHeight="1">
      <c r="A56" s="128"/>
      <c r="B56" s="43" t="s">
        <v>0</v>
      </c>
      <c r="C56" s="113" t="str">
        <f>(Code!J10)</f>
        <v>PA Public Utility Commission Meeting</v>
      </c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4"/>
      <c r="O56" s="107"/>
      <c r="P56" s="108"/>
      <c r="Q56" s="112"/>
      <c r="R56" s="133"/>
      <c r="S56" s="43" t="s">
        <v>0</v>
      </c>
      <c r="T56" s="113" t="str">
        <f>(Code!J14)</f>
        <v/>
      </c>
      <c r="U56" s="113"/>
      <c r="V56" s="113"/>
      <c r="W56" s="113"/>
      <c r="X56" s="113"/>
      <c r="Y56" s="113"/>
      <c r="Z56" s="113"/>
      <c r="AA56" s="113"/>
      <c r="AB56" s="113"/>
      <c r="AC56" s="113"/>
      <c r="AD56" s="113"/>
      <c r="AE56" s="114"/>
      <c r="AF56" s="107"/>
      <c r="AG56" s="108"/>
      <c r="AH56" s="112"/>
    </row>
    <row r="57" spans="1:34" ht="9.75" customHeight="1">
      <c r="A57" s="128"/>
      <c r="B57" s="44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4"/>
      <c r="O57" s="107"/>
      <c r="P57" s="108"/>
      <c r="Q57" s="112"/>
      <c r="R57" s="133"/>
      <c r="S57" s="44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113"/>
      <c r="AE57" s="114"/>
      <c r="AF57" s="107"/>
      <c r="AG57" s="108"/>
      <c r="AH57" s="112"/>
    </row>
    <row r="58" spans="1:34" ht="11.25" customHeight="1">
      <c r="A58" s="128"/>
      <c r="B58" s="44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4"/>
      <c r="O58" s="107"/>
      <c r="P58" s="108"/>
      <c r="Q58" s="112"/>
      <c r="R58" s="133"/>
      <c r="S58" s="44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4"/>
      <c r="AF58" s="107"/>
      <c r="AG58" s="108"/>
      <c r="AH58" s="112"/>
    </row>
    <row r="59" spans="1:34" ht="15.75" customHeight="1">
      <c r="A59" s="128"/>
      <c r="B59" s="45" t="s">
        <v>1</v>
      </c>
      <c r="C59" s="115" t="str">
        <f>(Code!V10)</f>
        <v>Harrisburg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6"/>
      <c r="O59" s="107"/>
      <c r="P59" s="108"/>
      <c r="Q59" s="3" t="str">
        <f>IF((Sheet2!P10=1),"CC"," ")</f>
        <v xml:space="preserve"> </v>
      </c>
      <c r="R59" s="133"/>
      <c r="S59" s="45" t="s">
        <v>1</v>
      </c>
      <c r="T59" s="115" t="str">
        <f>(Code!V14)</f>
        <v/>
      </c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6"/>
      <c r="AF59" s="107"/>
      <c r="AG59" s="108"/>
      <c r="AH59" s="37" t="str">
        <f>IF((Sheet2!P14=1),"CC"," ")</f>
        <v xml:space="preserve"> </v>
      </c>
    </row>
    <row r="60" spans="1:34" ht="10.5" customHeight="1">
      <c r="A60" s="128"/>
      <c r="B60" s="44"/>
      <c r="C60" s="115"/>
      <c r="D60" s="115"/>
      <c r="E60" s="115"/>
      <c r="F60" s="115"/>
      <c r="G60" s="115"/>
      <c r="H60" s="115"/>
      <c r="I60" s="115"/>
      <c r="J60" s="115"/>
      <c r="K60" s="115"/>
      <c r="L60" s="115"/>
      <c r="M60" s="115"/>
      <c r="N60" s="116"/>
      <c r="O60" s="107"/>
      <c r="P60" s="108"/>
      <c r="Q60" s="117" t="s">
        <v>2</v>
      </c>
      <c r="R60" s="133"/>
      <c r="S60" s="44"/>
      <c r="T60" s="115"/>
      <c r="U60" s="115"/>
      <c r="V60" s="115"/>
      <c r="W60" s="115"/>
      <c r="X60" s="115"/>
      <c r="Y60" s="115"/>
      <c r="Z60" s="115"/>
      <c r="AA60" s="115"/>
      <c r="AB60" s="115"/>
      <c r="AC60" s="115"/>
      <c r="AD60" s="115"/>
      <c r="AE60" s="116"/>
      <c r="AF60" s="107"/>
      <c r="AG60" s="108"/>
      <c r="AH60" s="117" t="s">
        <v>2</v>
      </c>
    </row>
    <row r="61" spans="1:34" ht="17.25" customHeight="1">
      <c r="A61" s="128"/>
      <c r="B61" s="44"/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6"/>
      <c r="O61" s="107"/>
      <c r="P61" s="108"/>
      <c r="Q61" s="117"/>
      <c r="R61" s="133"/>
      <c r="S61" s="44"/>
      <c r="T61" s="115"/>
      <c r="U61" s="115"/>
      <c r="V61" s="115"/>
      <c r="W61" s="115"/>
      <c r="X61" s="115"/>
      <c r="Y61" s="115"/>
      <c r="Z61" s="115"/>
      <c r="AA61" s="115"/>
      <c r="AB61" s="115"/>
      <c r="AC61" s="115"/>
      <c r="AD61" s="115"/>
      <c r="AE61" s="116"/>
      <c r="AF61" s="107"/>
      <c r="AG61" s="108"/>
      <c r="AH61" s="117"/>
    </row>
    <row r="62" spans="1:34" ht="15" customHeight="1">
      <c r="A62" s="128"/>
      <c r="B62" s="45" t="s">
        <v>3</v>
      </c>
      <c r="C62" s="1"/>
      <c r="D62" s="2"/>
      <c r="E62" s="1"/>
      <c r="F62" s="1"/>
      <c r="G62" s="1"/>
      <c r="H62" s="1"/>
      <c r="I62" s="1"/>
      <c r="J62" s="1"/>
      <c r="K62" s="1"/>
      <c r="L62" s="1"/>
      <c r="M62" s="1"/>
      <c r="N62" s="46"/>
      <c r="O62" s="107"/>
      <c r="P62" s="108"/>
      <c r="Q62" s="117"/>
      <c r="R62" s="133"/>
      <c r="S62" s="45" t="s">
        <v>3</v>
      </c>
      <c r="T62" s="1"/>
      <c r="U62" s="2"/>
      <c r="V62" s="1"/>
      <c r="W62" s="1"/>
      <c r="X62" s="1"/>
      <c r="Y62" s="1"/>
      <c r="Z62" s="1"/>
      <c r="AA62" s="1"/>
      <c r="AB62" s="1"/>
      <c r="AC62" s="1"/>
      <c r="AD62" s="1"/>
      <c r="AE62" s="46"/>
      <c r="AF62" s="107"/>
      <c r="AG62" s="108"/>
      <c r="AH62" s="117"/>
    </row>
    <row r="63" spans="1:34" ht="21.75" customHeight="1">
      <c r="A63" s="128"/>
      <c r="B63" s="44"/>
      <c r="C63" s="39"/>
      <c r="D63" s="1"/>
      <c r="E63" s="1"/>
      <c r="F63" s="1"/>
      <c r="G63" s="1"/>
      <c r="H63" s="1"/>
      <c r="I63" s="1"/>
      <c r="J63" s="1"/>
      <c r="K63" s="1"/>
      <c r="L63" s="1"/>
      <c r="M63" s="1"/>
      <c r="N63" s="46"/>
      <c r="O63" s="107"/>
      <c r="P63" s="108"/>
      <c r="Q63" s="26"/>
      <c r="R63" s="133"/>
      <c r="S63" s="44"/>
      <c r="T63" s="39"/>
      <c r="U63" s="1"/>
      <c r="V63" s="1"/>
      <c r="W63" s="1"/>
      <c r="X63" s="1"/>
      <c r="Y63" s="1"/>
      <c r="Z63" s="1"/>
      <c r="AA63" s="1"/>
      <c r="AB63" s="1"/>
      <c r="AC63" s="1"/>
      <c r="AD63" s="1"/>
      <c r="AE63" s="46"/>
      <c r="AF63" s="107"/>
      <c r="AG63" s="108"/>
      <c r="AH63" s="26"/>
    </row>
    <row r="64" spans="1:34" ht="15.75" customHeight="1">
      <c r="A64" s="128"/>
      <c r="B64" s="118" t="s">
        <v>4</v>
      </c>
      <c r="C64" s="119"/>
      <c r="D64" s="119"/>
      <c r="E64" s="119"/>
      <c r="F64" s="4"/>
      <c r="G64" s="120" t="s">
        <v>5</v>
      </c>
      <c r="H64" s="120"/>
      <c r="I64" s="120"/>
      <c r="J64" s="120"/>
      <c r="K64" s="5"/>
      <c r="L64" s="5"/>
      <c r="M64" s="5"/>
      <c r="N64" s="46"/>
      <c r="O64" s="107"/>
      <c r="P64" s="108"/>
      <c r="Q64" s="121" t="str">
        <f ca="1">(Date!V10)</f>
        <v>04/09/2015</v>
      </c>
      <c r="R64" s="133"/>
      <c r="S64" s="118" t="s">
        <v>4</v>
      </c>
      <c r="T64" s="119"/>
      <c r="U64" s="119"/>
      <c r="V64" s="119"/>
      <c r="W64" s="4"/>
      <c r="X64" s="120" t="s">
        <v>5</v>
      </c>
      <c r="Y64" s="120"/>
      <c r="Z64" s="120"/>
      <c r="AA64" s="120"/>
      <c r="AB64" s="5"/>
      <c r="AC64" s="5"/>
      <c r="AD64" s="5"/>
      <c r="AE64" s="46"/>
      <c r="AF64" s="107"/>
      <c r="AG64" s="108"/>
      <c r="AH64" s="121" t="str">
        <f>(Date!V14)</f>
        <v/>
      </c>
    </row>
    <row r="65" spans="1:34" ht="15.75">
      <c r="A65" s="128"/>
      <c r="B65" s="123" t="s">
        <v>6</v>
      </c>
      <c r="C65" s="124"/>
      <c r="D65" s="125"/>
      <c r="E65" s="125"/>
      <c r="F65" s="6"/>
      <c r="G65" s="126" t="s">
        <v>7</v>
      </c>
      <c r="H65" s="126"/>
      <c r="I65" s="127" t="s">
        <v>8</v>
      </c>
      <c r="J65" s="127"/>
      <c r="K65" s="6"/>
      <c r="L65" s="38" t="s">
        <v>6</v>
      </c>
      <c r="M65" s="137"/>
      <c r="N65" s="138"/>
      <c r="O65" s="107"/>
      <c r="P65" s="108"/>
      <c r="Q65" s="121"/>
      <c r="R65" s="133"/>
      <c r="S65" s="123" t="s">
        <v>6</v>
      </c>
      <c r="T65" s="124"/>
      <c r="U65" s="125"/>
      <c r="V65" s="125"/>
      <c r="W65" s="6"/>
      <c r="X65" s="126" t="s">
        <v>7</v>
      </c>
      <c r="Y65" s="126"/>
      <c r="Z65" s="127" t="s">
        <v>8</v>
      </c>
      <c r="AA65" s="127"/>
      <c r="AB65" s="6"/>
      <c r="AC65" s="38" t="s">
        <v>6</v>
      </c>
      <c r="AD65" s="137"/>
      <c r="AE65" s="138"/>
      <c r="AF65" s="107"/>
      <c r="AG65" s="108"/>
      <c r="AH65" s="121"/>
    </row>
    <row r="66" spans="1:34" ht="15.75">
      <c r="A66" s="128"/>
      <c r="B66" s="123" t="s">
        <v>9</v>
      </c>
      <c r="C66" s="124"/>
      <c r="D66" s="125"/>
      <c r="E66" s="125"/>
      <c r="F66" s="6"/>
      <c r="G66" s="126" t="s">
        <v>10</v>
      </c>
      <c r="H66" s="126"/>
      <c r="I66" s="126"/>
      <c r="J66" s="126"/>
      <c r="K66" s="6"/>
      <c r="L66" s="38" t="s">
        <v>9</v>
      </c>
      <c r="M66" s="137"/>
      <c r="N66" s="138"/>
      <c r="O66" s="107"/>
      <c r="P66" s="108"/>
      <c r="Q66" s="121"/>
      <c r="R66" s="133"/>
      <c r="S66" s="123" t="s">
        <v>9</v>
      </c>
      <c r="T66" s="124"/>
      <c r="U66" s="125"/>
      <c r="V66" s="125"/>
      <c r="W66" s="6"/>
      <c r="X66" s="126" t="s">
        <v>10</v>
      </c>
      <c r="Y66" s="126"/>
      <c r="Z66" s="126"/>
      <c r="AA66" s="126"/>
      <c r="AB66" s="6"/>
      <c r="AC66" s="38" t="s">
        <v>9</v>
      </c>
      <c r="AD66" s="137"/>
      <c r="AE66" s="138"/>
      <c r="AF66" s="107"/>
      <c r="AG66" s="108"/>
      <c r="AH66" s="121"/>
    </row>
    <row r="67" spans="1:34" ht="14.25" customHeight="1">
      <c r="A67" s="128"/>
      <c r="B67" s="99" t="s">
        <v>11</v>
      </c>
      <c r="C67" s="100"/>
      <c r="D67" s="101"/>
      <c r="E67" s="101"/>
      <c r="F67" s="47"/>
      <c r="G67" s="102" t="s">
        <v>12</v>
      </c>
      <c r="H67" s="102"/>
      <c r="I67" s="102"/>
      <c r="J67" s="102"/>
      <c r="K67" s="47"/>
      <c r="L67" s="48" t="s">
        <v>11</v>
      </c>
      <c r="M67" s="103"/>
      <c r="N67" s="104"/>
      <c r="O67" s="109"/>
      <c r="P67" s="110"/>
      <c r="Q67" s="122"/>
      <c r="R67" s="133"/>
      <c r="S67" s="99" t="s">
        <v>11</v>
      </c>
      <c r="T67" s="100"/>
      <c r="U67" s="101"/>
      <c r="V67" s="101"/>
      <c r="W67" s="47"/>
      <c r="X67" s="102" t="s">
        <v>12</v>
      </c>
      <c r="Y67" s="102"/>
      <c r="Z67" s="102"/>
      <c r="AA67" s="102"/>
      <c r="AB67" s="47"/>
      <c r="AC67" s="48" t="s">
        <v>11</v>
      </c>
      <c r="AD67" s="103"/>
      <c r="AE67" s="104"/>
      <c r="AF67" s="109"/>
      <c r="AG67" s="110"/>
      <c r="AH67" s="122"/>
    </row>
    <row r="68" spans="1:34" ht="15.75" customHeight="1">
      <c r="A68" s="128"/>
      <c r="B68" s="40"/>
      <c r="C68" s="129" t="str">
        <f>IF(Sheet2!R11=FALSE,"AD","CLEAN")</f>
        <v>AD</v>
      </c>
      <c r="D68" s="129"/>
      <c r="E68" s="129"/>
      <c r="F68" s="41"/>
      <c r="G68" s="41"/>
      <c r="H68" s="130" t="str">
        <f>IF((Sheet2!P11=1),"CC"," ")</f>
        <v xml:space="preserve"> </v>
      </c>
      <c r="I68" s="130"/>
      <c r="J68" s="41"/>
      <c r="K68" s="42"/>
      <c r="L68" s="42"/>
      <c r="M68" s="131" t="str">
        <f>(Date!V11)</f>
        <v/>
      </c>
      <c r="N68" s="132"/>
      <c r="O68" s="105" t="str">
        <f>(Code!J11)</f>
        <v/>
      </c>
      <c r="P68" s="106"/>
      <c r="Q68" s="111" t="str">
        <f>IF(Sheet2!R11=FALSE,"AD","CLEAN")</f>
        <v>AD</v>
      </c>
      <c r="R68" s="133"/>
      <c r="S68" s="40"/>
      <c r="T68" s="129" t="str">
        <f>IF(Sheet2!R15=FALSE,"AD","CLEAN")</f>
        <v>AD</v>
      </c>
      <c r="U68" s="129"/>
      <c r="V68" s="129"/>
      <c r="W68" s="41"/>
      <c r="X68" s="41"/>
      <c r="Y68" s="130" t="str">
        <f>IF((Sheet2!P15=1),"CC"," ")</f>
        <v xml:space="preserve"> </v>
      </c>
      <c r="Z68" s="130"/>
      <c r="AA68" s="41"/>
      <c r="AB68" s="42"/>
      <c r="AC68" s="42"/>
      <c r="AD68" s="131" t="str">
        <f>(Date!V15)</f>
        <v/>
      </c>
      <c r="AE68" s="132"/>
      <c r="AF68" s="105" t="str">
        <f>(Code!J15)</f>
        <v/>
      </c>
      <c r="AG68" s="106"/>
      <c r="AH68" s="111" t="str">
        <f>IF(Sheet2!R15=FALSE,"AD","CLEAN")</f>
        <v>AD</v>
      </c>
    </row>
    <row r="69" spans="1:34" ht="15.75" customHeight="1">
      <c r="A69" s="128"/>
      <c r="B69" s="43" t="s">
        <v>0</v>
      </c>
      <c r="C69" s="113" t="str">
        <f>(Code!J11)</f>
        <v/>
      </c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07"/>
      <c r="P69" s="108"/>
      <c r="Q69" s="112"/>
      <c r="R69" s="133"/>
      <c r="S69" s="43" t="s">
        <v>0</v>
      </c>
      <c r="T69" s="113" t="str">
        <f>(Code!J15)</f>
        <v/>
      </c>
      <c r="U69" s="113"/>
      <c r="V69" s="113"/>
      <c r="W69" s="113"/>
      <c r="X69" s="113"/>
      <c r="Y69" s="113"/>
      <c r="Z69" s="113"/>
      <c r="AA69" s="113"/>
      <c r="AB69" s="113"/>
      <c r="AC69" s="113"/>
      <c r="AD69" s="113"/>
      <c r="AE69" s="114"/>
      <c r="AF69" s="107"/>
      <c r="AG69" s="108"/>
      <c r="AH69" s="112"/>
    </row>
    <row r="70" spans="1:34" ht="9.75" customHeight="1">
      <c r="A70" s="128"/>
      <c r="B70" s="44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4"/>
      <c r="O70" s="107"/>
      <c r="P70" s="108"/>
      <c r="Q70" s="112"/>
      <c r="R70" s="133"/>
      <c r="S70" s="44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113"/>
      <c r="AE70" s="114"/>
      <c r="AF70" s="107"/>
      <c r="AG70" s="108"/>
      <c r="AH70" s="112"/>
    </row>
    <row r="71" spans="1:34" ht="11.25" customHeight="1">
      <c r="A71" s="128"/>
      <c r="B71" s="44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4"/>
      <c r="O71" s="107"/>
      <c r="P71" s="108"/>
      <c r="Q71" s="112"/>
      <c r="R71" s="133"/>
      <c r="S71" s="44"/>
      <c r="T71" s="113"/>
      <c r="U71" s="113"/>
      <c r="V71" s="113"/>
      <c r="W71" s="113"/>
      <c r="X71" s="113"/>
      <c r="Y71" s="113"/>
      <c r="Z71" s="113"/>
      <c r="AA71" s="113"/>
      <c r="AB71" s="113"/>
      <c r="AC71" s="113"/>
      <c r="AD71" s="113"/>
      <c r="AE71" s="114"/>
      <c r="AF71" s="107"/>
      <c r="AG71" s="108"/>
      <c r="AH71" s="112"/>
    </row>
    <row r="72" spans="1:34" ht="15.75" customHeight="1">
      <c r="A72" s="128"/>
      <c r="B72" s="45" t="s">
        <v>1</v>
      </c>
      <c r="C72" s="115" t="str">
        <f>(Code!V11)</f>
        <v/>
      </c>
      <c r="D72" s="115"/>
      <c r="E72" s="115"/>
      <c r="F72" s="115"/>
      <c r="G72" s="115"/>
      <c r="H72" s="115"/>
      <c r="I72" s="115"/>
      <c r="J72" s="115"/>
      <c r="K72" s="115"/>
      <c r="L72" s="115"/>
      <c r="M72" s="115"/>
      <c r="N72" s="116"/>
      <c r="O72" s="107"/>
      <c r="P72" s="108"/>
      <c r="Q72" s="3" t="str">
        <f>IF((Sheet2!P11=1),"CC"," ")</f>
        <v xml:space="preserve"> </v>
      </c>
      <c r="R72" s="133"/>
      <c r="S72" s="45" t="s">
        <v>1</v>
      </c>
      <c r="T72" s="115" t="str">
        <f>(Code!V15)</f>
        <v/>
      </c>
      <c r="U72" s="115"/>
      <c r="V72" s="115"/>
      <c r="W72" s="115"/>
      <c r="X72" s="115"/>
      <c r="Y72" s="115"/>
      <c r="Z72" s="115"/>
      <c r="AA72" s="115"/>
      <c r="AB72" s="115"/>
      <c r="AC72" s="115"/>
      <c r="AD72" s="115"/>
      <c r="AE72" s="116"/>
      <c r="AF72" s="107"/>
      <c r="AG72" s="108"/>
      <c r="AH72" s="37" t="str">
        <f>IF((Sheet2!P15=1),"CC"," ")</f>
        <v xml:space="preserve"> </v>
      </c>
    </row>
    <row r="73" spans="1:34" ht="10.5" customHeight="1">
      <c r="A73" s="128"/>
      <c r="B73" s="44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  <c r="N73" s="116"/>
      <c r="O73" s="107"/>
      <c r="P73" s="108"/>
      <c r="Q73" s="117" t="s">
        <v>2</v>
      </c>
      <c r="R73" s="133"/>
      <c r="S73" s="44"/>
      <c r="T73" s="115"/>
      <c r="U73" s="115"/>
      <c r="V73" s="115"/>
      <c r="W73" s="115"/>
      <c r="X73" s="115"/>
      <c r="Y73" s="115"/>
      <c r="Z73" s="115"/>
      <c r="AA73" s="115"/>
      <c r="AB73" s="115"/>
      <c r="AC73" s="115"/>
      <c r="AD73" s="115"/>
      <c r="AE73" s="116"/>
      <c r="AF73" s="107"/>
      <c r="AG73" s="108"/>
      <c r="AH73" s="117" t="s">
        <v>2</v>
      </c>
    </row>
    <row r="74" spans="1:34" ht="11.25" customHeight="1">
      <c r="A74" s="128"/>
      <c r="B74" s="44"/>
      <c r="C74" s="115"/>
      <c r="D74" s="115"/>
      <c r="E74" s="115"/>
      <c r="F74" s="115"/>
      <c r="G74" s="115"/>
      <c r="H74" s="115"/>
      <c r="I74" s="115"/>
      <c r="J74" s="115"/>
      <c r="K74" s="115"/>
      <c r="L74" s="115"/>
      <c r="M74" s="115"/>
      <c r="N74" s="116"/>
      <c r="O74" s="107"/>
      <c r="P74" s="108"/>
      <c r="Q74" s="117"/>
      <c r="R74" s="133"/>
      <c r="S74" s="44"/>
      <c r="T74" s="115"/>
      <c r="U74" s="115"/>
      <c r="V74" s="115"/>
      <c r="W74" s="115"/>
      <c r="X74" s="115"/>
      <c r="Y74" s="115"/>
      <c r="Z74" s="115"/>
      <c r="AA74" s="115"/>
      <c r="AB74" s="115"/>
      <c r="AC74" s="115"/>
      <c r="AD74" s="115"/>
      <c r="AE74" s="116"/>
      <c r="AF74" s="107"/>
      <c r="AG74" s="108"/>
      <c r="AH74" s="117"/>
    </row>
    <row r="75" spans="1:34" ht="15" customHeight="1">
      <c r="A75" s="128"/>
      <c r="B75" s="45" t="s">
        <v>3</v>
      </c>
      <c r="C75" s="1"/>
      <c r="D75" s="2"/>
      <c r="E75" s="1"/>
      <c r="F75" s="1"/>
      <c r="G75" s="1"/>
      <c r="H75" s="1"/>
      <c r="I75" s="1"/>
      <c r="J75" s="1"/>
      <c r="K75" s="1"/>
      <c r="L75" s="1"/>
      <c r="M75" s="1"/>
      <c r="N75" s="46"/>
      <c r="O75" s="107"/>
      <c r="P75" s="108"/>
      <c r="Q75" s="117"/>
      <c r="R75" s="133"/>
      <c r="S75" s="45" t="s">
        <v>3</v>
      </c>
      <c r="T75" s="1"/>
      <c r="U75" s="2"/>
      <c r="V75" s="1"/>
      <c r="W75" s="1"/>
      <c r="X75" s="1"/>
      <c r="Y75" s="1"/>
      <c r="Z75" s="1"/>
      <c r="AA75" s="1"/>
      <c r="AB75" s="1"/>
      <c r="AC75" s="1"/>
      <c r="AD75" s="1"/>
      <c r="AE75" s="46"/>
      <c r="AF75" s="107"/>
      <c r="AG75" s="108"/>
      <c r="AH75" s="117"/>
    </row>
    <row r="76" spans="1:34" ht="21.75" customHeight="1">
      <c r="A76" s="128"/>
      <c r="B76" s="44"/>
      <c r="C76" s="39"/>
      <c r="D76" s="1"/>
      <c r="E76" s="1"/>
      <c r="F76" s="1"/>
      <c r="G76" s="1"/>
      <c r="H76" s="1"/>
      <c r="I76" s="1"/>
      <c r="J76" s="1"/>
      <c r="K76" s="1"/>
      <c r="L76" s="1"/>
      <c r="M76" s="1"/>
      <c r="N76" s="46"/>
      <c r="O76" s="107"/>
      <c r="P76" s="108"/>
      <c r="Q76" s="26"/>
      <c r="R76" s="133"/>
      <c r="S76" s="44"/>
      <c r="T76" s="39"/>
      <c r="U76" s="1"/>
      <c r="V76" s="1"/>
      <c r="W76" s="1"/>
      <c r="X76" s="1"/>
      <c r="Y76" s="1"/>
      <c r="Z76" s="1"/>
      <c r="AA76" s="1"/>
      <c r="AB76" s="1"/>
      <c r="AC76" s="1"/>
      <c r="AD76" s="1"/>
      <c r="AE76" s="46"/>
      <c r="AF76" s="107"/>
      <c r="AG76" s="108"/>
      <c r="AH76" s="26"/>
    </row>
    <row r="77" spans="1:34" ht="15.75" customHeight="1">
      <c r="A77" s="128"/>
      <c r="B77" s="118" t="s">
        <v>4</v>
      </c>
      <c r="C77" s="119"/>
      <c r="D77" s="119"/>
      <c r="E77" s="119"/>
      <c r="F77" s="4"/>
      <c r="G77" s="120" t="s">
        <v>5</v>
      </c>
      <c r="H77" s="120"/>
      <c r="I77" s="120"/>
      <c r="J77" s="120"/>
      <c r="K77" s="5"/>
      <c r="L77" s="5"/>
      <c r="M77" s="5"/>
      <c r="N77" s="46"/>
      <c r="O77" s="107"/>
      <c r="P77" s="108"/>
      <c r="Q77" s="121" t="str">
        <f>(Date!V11)</f>
        <v/>
      </c>
      <c r="R77" s="133"/>
      <c r="S77" s="118" t="s">
        <v>4</v>
      </c>
      <c r="T77" s="119"/>
      <c r="U77" s="119"/>
      <c r="V77" s="119"/>
      <c r="W77" s="4"/>
      <c r="X77" s="120" t="s">
        <v>5</v>
      </c>
      <c r="Y77" s="120"/>
      <c r="Z77" s="120"/>
      <c r="AA77" s="120"/>
      <c r="AB77" s="5"/>
      <c r="AC77" s="5"/>
      <c r="AD77" s="5"/>
      <c r="AE77" s="46"/>
      <c r="AF77" s="107"/>
      <c r="AG77" s="108"/>
      <c r="AH77" s="121" t="str">
        <f>(Date!V15)</f>
        <v/>
      </c>
    </row>
    <row r="78" spans="1:34" ht="15.75">
      <c r="A78" s="128"/>
      <c r="B78" s="123" t="s">
        <v>6</v>
      </c>
      <c r="C78" s="124"/>
      <c r="D78" s="125"/>
      <c r="E78" s="125"/>
      <c r="F78" s="6"/>
      <c r="G78" s="126" t="s">
        <v>7</v>
      </c>
      <c r="H78" s="126"/>
      <c r="I78" s="127" t="s">
        <v>8</v>
      </c>
      <c r="J78" s="127"/>
      <c r="K78" s="6"/>
      <c r="L78" s="38" t="s">
        <v>6</v>
      </c>
      <c r="M78" s="137"/>
      <c r="N78" s="138"/>
      <c r="O78" s="107"/>
      <c r="P78" s="108"/>
      <c r="Q78" s="121"/>
      <c r="R78" s="133"/>
      <c r="S78" s="123" t="s">
        <v>6</v>
      </c>
      <c r="T78" s="124"/>
      <c r="U78" s="125"/>
      <c r="V78" s="125"/>
      <c r="W78" s="6"/>
      <c r="X78" s="126" t="s">
        <v>7</v>
      </c>
      <c r="Y78" s="126"/>
      <c r="Z78" s="127" t="s">
        <v>8</v>
      </c>
      <c r="AA78" s="127"/>
      <c r="AB78" s="6"/>
      <c r="AC78" s="38" t="s">
        <v>6</v>
      </c>
      <c r="AD78" s="137"/>
      <c r="AE78" s="138"/>
      <c r="AF78" s="107"/>
      <c r="AG78" s="108"/>
      <c r="AH78" s="121"/>
    </row>
    <row r="79" spans="1:34" ht="15.75">
      <c r="A79" s="128"/>
      <c r="B79" s="123" t="s">
        <v>9</v>
      </c>
      <c r="C79" s="124"/>
      <c r="D79" s="125"/>
      <c r="E79" s="125"/>
      <c r="F79" s="6"/>
      <c r="G79" s="126" t="s">
        <v>10</v>
      </c>
      <c r="H79" s="126"/>
      <c r="I79" s="126"/>
      <c r="J79" s="126"/>
      <c r="K79" s="6"/>
      <c r="L79" s="38" t="s">
        <v>9</v>
      </c>
      <c r="M79" s="137"/>
      <c r="N79" s="138"/>
      <c r="O79" s="107"/>
      <c r="P79" s="108"/>
      <c r="Q79" s="121"/>
      <c r="R79" s="133"/>
      <c r="S79" s="123" t="s">
        <v>9</v>
      </c>
      <c r="T79" s="124"/>
      <c r="U79" s="125"/>
      <c r="V79" s="125"/>
      <c r="W79" s="6"/>
      <c r="X79" s="126" t="s">
        <v>10</v>
      </c>
      <c r="Y79" s="126"/>
      <c r="Z79" s="126"/>
      <c r="AA79" s="126"/>
      <c r="AB79" s="6"/>
      <c r="AC79" s="38" t="s">
        <v>9</v>
      </c>
      <c r="AD79" s="137"/>
      <c r="AE79" s="138"/>
      <c r="AF79" s="107"/>
      <c r="AG79" s="108"/>
      <c r="AH79" s="121"/>
    </row>
    <row r="80" spans="1:34" ht="14.25" customHeight="1">
      <c r="A80" s="128"/>
      <c r="B80" s="99" t="s">
        <v>11</v>
      </c>
      <c r="C80" s="100"/>
      <c r="D80" s="101"/>
      <c r="E80" s="101"/>
      <c r="F80" s="47"/>
      <c r="G80" s="102" t="s">
        <v>12</v>
      </c>
      <c r="H80" s="102"/>
      <c r="I80" s="102"/>
      <c r="J80" s="102"/>
      <c r="K80" s="47"/>
      <c r="L80" s="48" t="s">
        <v>11</v>
      </c>
      <c r="M80" s="103"/>
      <c r="N80" s="104"/>
      <c r="O80" s="109"/>
      <c r="P80" s="110"/>
      <c r="Q80" s="122"/>
      <c r="R80" s="133"/>
      <c r="S80" s="99" t="s">
        <v>11</v>
      </c>
      <c r="T80" s="100"/>
      <c r="U80" s="101"/>
      <c r="V80" s="101"/>
      <c r="W80" s="47"/>
      <c r="X80" s="102" t="s">
        <v>12</v>
      </c>
      <c r="Y80" s="102"/>
      <c r="Z80" s="102"/>
      <c r="AA80" s="102"/>
      <c r="AB80" s="47"/>
      <c r="AC80" s="48" t="s">
        <v>11</v>
      </c>
      <c r="AD80" s="103"/>
      <c r="AE80" s="104"/>
      <c r="AF80" s="109"/>
      <c r="AG80" s="110"/>
      <c r="AH80" s="122"/>
    </row>
    <row r="81" spans="1:34" ht="15.75" customHeight="1">
      <c r="A81" s="128"/>
      <c r="B81" s="40"/>
      <c r="C81" s="129" t="str">
        <f>IF(Sheet2!R12=FALSE,"AD","CLEAN")</f>
        <v>AD</v>
      </c>
      <c r="D81" s="129"/>
      <c r="E81" s="129"/>
      <c r="F81" s="41"/>
      <c r="G81" s="41"/>
      <c r="H81" s="130" t="str">
        <f>IF((Sheet2!P12=1),"CC"," ")</f>
        <v xml:space="preserve"> </v>
      </c>
      <c r="I81" s="130"/>
      <c r="J81" s="41"/>
      <c r="K81" s="42"/>
      <c r="L81" s="42"/>
      <c r="M81" s="131" t="str">
        <f>(Date!V12)</f>
        <v/>
      </c>
      <c r="N81" s="132"/>
      <c r="O81" s="105" t="str">
        <f>(Code!J12)</f>
        <v/>
      </c>
      <c r="P81" s="106"/>
      <c r="Q81" s="111" t="str">
        <f>IF(Sheet2!R12=FALSE,"AD","CLEAN")</f>
        <v>AD</v>
      </c>
      <c r="R81" s="133"/>
      <c r="S81" s="40"/>
      <c r="T81" s="129" t="str">
        <f>IF(Sheet2!R16=FALSE,"AD","CLEAN")</f>
        <v>AD</v>
      </c>
      <c r="U81" s="129"/>
      <c r="V81" s="129"/>
      <c r="W81" s="41"/>
      <c r="X81" s="41"/>
      <c r="Y81" s="130" t="str">
        <f>IF((Sheet2!AE5=1),"CC"," ")</f>
        <v xml:space="preserve"> </v>
      </c>
      <c r="Z81" s="130"/>
      <c r="AA81" s="41"/>
      <c r="AB81" s="42"/>
      <c r="AC81" s="42"/>
      <c r="AD81" s="131" t="str">
        <f>(Date!V16)</f>
        <v/>
      </c>
      <c r="AE81" s="132"/>
      <c r="AF81" s="105" t="str">
        <f>(Code!J16)</f>
        <v/>
      </c>
      <c r="AG81" s="106"/>
      <c r="AH81" s="111" t="str">
        <f>IF(Sheet2!R16=FALSE,"AD","CLEAN")</f>
        <v>AD</v>
      </c>
    </row>
    <row r="82" spans="1:34" ht="15.75" customHeight="1">
      <c r="A82" s="128"/>
      <c r="B82" s="43" t="s">
        <v>0</v>
      </c>
      <c r="C82" s="113" t="str">
        <f>(Code!J12)</f>
        <v/>
      </c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4"/>
      <c r="O82" s="107"/>
      <c r="P82" s="108"/>
      <c r="Q82" s="112"/>
      <c r="R82" s="133"/>
      <c r="S82" s="43" t="s">
        <v>0</v>
      </c>
      <c r="T82" s="113" t="str">
        <f>(Code!J16)</f>
        <v/>
      </c>
      <c r="U82" s="113"/>
      <c r="V82" s="113"/>
      <c r="W82" s="113"/>
      <c r="X82" s="113"/>
      <c r="Y82" s="113"/>
      <c r="Z82" s="113"/>
      <c r="AA82" s="113"/>
      <c r="AB82" s="113"/>
      <c r="AC82" s="113"/>
      <c r="AD82" s="113"/>
      <c r="AE82" s="114"/>
      <c r="AF82" s="107"/>
      <c r="AG82" s="108"/>
      <c r="AH82" s="112"/>
    </row>
    <row r="83" spans="1:34" ht="9.75" customHeight="1">
      <c r="A83" s="128"/>
      <c r="B83" s="44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4"/>
      <c r="O83" s="107"/>
      <c r="P83" s="108"/>
      <c r="Q83" s="112"/>
      <c r="R83" s="133"/>
      <c r="S83" s="44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113"/>
      <c r="AE83" s="114"/>
      <c r="AF83" s="107"/>
      <c r="AG83" s="108"/>
      <c r="AH83" s="112"/>
    </row>
    <row r="84" spans="1:34" ht="11.25" customHeight="1">
      <c r="A84" s="128"/>
      <c r="B84" s="44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4"/>
      <c r="O84" s="107"/>
      <c r="P84" s="108"/>
      <c r="Q84" s="112"/>
      <c r="R84" s="133"/>
      <c r="S84" s="44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113"/>
      <c r="AE84" s="114"/>
      <c r="AF84" s="107"/>
      <c r="AG84" s="108"/>
      <c r="AH84" s="112"/>
    </row>
    <row r="85" spans="1:34" ht="15.75" customHeight="1">
      <c r="A85" s="128"/>
      <c r="B85" s="45" t="s">
        <v>1</v>
      </c>
      <c r="C85" s="115" t="str">
        <f>(Code!V12)</f>
        <v/>
      </c>
      <c r="D85" s="115"/>
      <c r="E85" s="115"/>
      <c r="F85" s="115"/>
      <c r="G85" s="115"/>
      <c r="H85" s="115"/>
      <c r="I85" s="115"/>
      <c r="J85" s="115"/>
      <c r="K85" s="115"/>
      <c r="L85" s="115"/>
      <c r="M85" s="115"/>
      <c r="N85" s="116"/>
      <c r="O85" s="107"/>
      <c r="P85" s="108"/>
      <c r="Q85" s="3" t="str">
        <f>IF((Sheet2!P12=1),"CC"," ")</f>
        <v xml:space="preserve"> </v>
      </c>
      <c r="R85" s="133"/>
      <c r="S85" s="45" t="s">
        <v>1</v>
      </c>
      <c r="T85" s="115" t="str">
        <f>(Code!V16)</f>
        <v/>
      </c>
      <c r="U85" s="115"/>
      <c r="V85" s="115"/>
      <c r="W85" s="115"/>
      <c r="X85" s="115"/>
      <c r="Y85" s="115"/>
      <c r="Z85" s="115"/>
      <c r="AA85" s="115"/>
      <c r="AB85" s="115"/>
      <c r="AC85" s="115"/>
      <c r="AD85" s="115"/>
      <c r="AE85" s="116"/>
      <c r="AF85" s="107"/>
      <c r="AG85" s="108"/>
      <c r="AH85" s="37" t="str">
        <f>IF((Sheet2!AE5=1),"CC"," ")</f>
        <v xml:space="preserve"> </v>
      </c>
    </row>
    <row r="86" spans="1:34" ht="10.5" customHeight="1">
      <c r="A86" s="128"/>
      <c r="B86" s="44"/>
      <c r="C86" s="115"/>
      <c r="D86" s="115"/>
      <c r="E86" s="115"/>
      <c r="F86" s="115"/>
      <c r="G86" s="115"/>
      <c r="H86" s="115"/>
      <c r="I86" s="115"/>
      <c r="J86" s="115"/>
      <c r="K86" s="115"/>
      <c r="L86" s="115"/>
      <c r="M86" s="115"/>
      <c r="N86" s="116"/>
      <c r="O86" s="107"/>
      <c r="P86" s="108"/>
      <c r="Q86" s="117" t="s">
        <v>2</v>
      </c>
      <c r="R86" s="133"/>
      <c r="S86" s="44"/>
      <c r="T86" s="115"/>
      <c r="U86" s="115"/>
      <c r="V86" s="115"/>
      <c r="W86" s="115"/>
      <c r="X86" s="115"/>
      <c r="Y86" s="115"/>
      <c r="Z86" s="115"/>
      <c r="AA86" s="115"/>
      <c r="AB86" s="115"/>
      <c r="AC86" s="115"/>
      <c r="AD86" s="115"/>
      <c r="AE86" s="116"/>
      <c r="AF86" s="107"/>
      <c r="AG86" s="108"/>
      <c r="AH86" s="117" t="s">
        <v>2</v>
      </c>
    </row>
    <row r="87" spans="1:34" ht="12" customHeight="1">
      <c r="A87" s="128"/>
      <c r="B87" s="44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116"/>
      <c r="O87" s="107"/>
      <c r="P87" s="108"/>
      <c r="Q87" s="117"/>
      <c r="R87" s="133"/>
      <c r="S87" s="44"/>
      <c r="T87" s="115"/>
      <c r="U87" s="115"/>
      <c r="V87" s="115"/>
      <c r="W87" s="115"/>
      <c r="X87" s="115"/>
      <c r="Y87" s="115"/>
      <c r="Z87" s="115"/>
      <c r="AA87" s="115"/>
      <c r="AB87" s="115"/>
      <c r="AC87" s="115"/>
      <c r="AD87" s="115"/>
      <c r="AE87" s="116"/>
      <c r="AF87" s="107"/>
      <c r="AG87" s="108"/>
      <c r="AH87" s="117"/>
    </row>
    <row r="88" spans="1:34" ht="15" customHeight="1">
      <c r="A88" s="128"/>
      <c r="B88" s="45" t="s">
        <v>3</v>
      </c>
      <c r="C88" s="1"/>
      <c r="D88" s="2"/>
      <c r="E88" s="1"/>
      <c r="F88" s="1"/>
      <c r="G88" s="1"/>
      <c r="H88" s="1"/>
      <c r="I88" s="1"/>
      <c r="J88" s="1"/>
      <c r="K88" s="1"/>
      <c r="L88" s="1"/>
      <c r="M88" s="1"/>
      <c r="N88" s="46"/>
      <c r="O88" s="107"/>
      <c r="P88" s="108"/>
      <c r="Q88" s="117"/>
      <c r="R88" s="133"/>
      <c r="S88" s="45" t="s">
        <v>3</v>
      </c>
      <c r="T88" s="1"/>
      <c r="U88" s="2"/>
      <c r="V88" s="1"/>
      <c r="W88" s="1"/>
      <c r="X88" s="1"/>
      <c r="Y88" s="1"/>
      <c r="Z88" s="1"/>
      <c r="AA88" s="1"/>
      <c r="AB88" s="1"/>
      <c r="AC88" s="1"/>
      <c r="AD88" s="1"/>
      <c r="AE88" s="46"/>
      <c r="AF88" s="107"/>
      <c r="AG88" s="108"/>
      <c r="AH88" s="117"/>
    </row>
    <row r="89" spans="1:34" ht="19.5" customHeight="1">
      <c r="A89" s="128"/>
      <c r="B89" s="44"/>
      <c r="C89" s="39"/>
      <c r="D89" s="1"/>
      <c r="E89" s="1"/>
      <c r="F89" s="1"/>
      <c r="G89" s="1"/>
      <c r="H89" s="1"/>
      <c r="I89" s="1"/>
      <c r="J89" s="1"/>
      <c r="K89" s="1"/>
      <c r="L89" s="1"/>
      <c r="M89" s="1"/>
      <c r="N89" s="46"/>
      <c r="O89" s="107"/>
      <c r="P89" s="108"/>
      <c r="Q89" s="26"/>
      <c r="R89" s="133"/>
      <c r="S89" s="44"/>
      <c r="T89" s="39"/>
      <c r="U89" s="1"/>
      <c r="V89" s="1"/>
      <c r="W89" s="1"/>
      <c r="X89" s="1"/>
      <c r="Y89" s="1"/>
      <c r="Z89" s="1"/>
      <c r="AA89" s="1"/>
      <c r="AB89" s="1"/>
      <c r="AC89" s="1"/>
      <c r="AD89" s="1"/>
      <c r="AE89" s="46"/>
      <c r="AF89" s="107"/>
      <c r="AG89" s="108"/>
      <c r="AH89" s="26"/>
    </row>
    <row r="90" spans="1:34" ht="15.75" customHeight="1">
      <c r="A90" s="128"/>
      <c r="B90" s="118" t="s">
        <v>4</v>
      </c>
      <c r="C90" s="119"/>
      <c r="D90" s="119"/>
      <c r="E90" s="119"/>
      <c r="F90" s="4"/>
      <c r="G90" s="120" t="s">
        <v>5</v>
      </c>
      <c r="H90" s="120"/>
      <c r="I90" s="120"/>
      <c r="J90" s="120"/>
      <c r="K90" s="5"/>
      <c r="L90" s="5"/>
      <c r="M90" s="5"/>
      <c r="N90" s="46"/>
      <c r="O90" s="107"/>
      <c r="P90" s="108"/>
      <c r="Q90" s="121" t="str">
        <f>(Date!V12)</f>
        <v/>
      </c>
      <c r="R90" s="133"/>
      <c r="S90" s="118" t="s">
        <v>4</v>
      </c>
      <c r="T90" s="119"/>
      <c r="U90" s="119"/>
      <c r="V90" s="119"/>
      <c r="W90" s="4"/>
      <c r="X90" s="120" t="s">
        <v>5</v>
      </c>
      <c r="Y90" s="120"/>
      <c r="Z90" s="120"/>
      <c r="AA90" s="120"/>
      <c r="AB90" s="5"/>
      <c r="AC90" s="5"/>
      <c r="AD90" s="5"/>
      <c r="AE90" s="46"/>
      <c r="AF90" s="107"/>
      <c r="AG90" s="108"/>
      <c r="AH90" s="121" t="str">
        <f>(Date!V16)</f>
        <v/>
      </c>
    </row>
    <row r="91" spans="1:34" ht="15.75">
      <c r="A91" s="128"/>
      <c r="B91" s="123" t="s">
        <v>6</v>
      </c>
      <c r="C91" s="124"/>
      <c r="D91" s="125"/>
      <c r="E91" s="125"/>
      <c r="F91" s="6"/>
      <c r="G91" s="126" t="s">
        <v>7</v>
      </c>
      <c r="H91" s="126"/>
      <c r="I91" s="127" t="s">
        <v>8</v>
      </c>
      <c r="J91" s="127"/>
      <c r="K91" s="6"/>
      <c r="L91" s="38" t="s">
        <v>6</v>
      </c>
      <c r="M91" s="137"/>
      <c r="N91" s="138"/>
      <c r="O91" s="107"/>
      <c r="P91" s="108"/>
      <c r="Q91" s="121"/>
      <c r="R91" s="133"/>
      <c r="S91" s="123" t="s">
        <v>6</v>
      </c>
      <c r="T91" s="124"/>
      <c r="U91" s="125"/>
      <c r="V91" s="125"/>
      <c r="W91" s="6"/>
      <c r="X91" s="126" t="s">
        <v>7</v>
      </c>
      <c r="Y91" s="126"/>
      <c r="Z91" s="127" t="s">
        <v>8</v>
      </c>
      <c r="AA91" s="127"/>
      <c r="AB91" s="6"/>
      <c r="AC91" s="38" t="s">
        <v>6</v>
      </c>
      <c r="AD91" s="137"/>
      <c r="AE91" s="138"/>
      <c r="AF91" s="107"/>
      <c r="AG91" s="108"/>
      <c r="AH91" s="121"/>
    </row>
    <row r="92" spans="1:34" ht="15.75">
      <c r="A92" s="128"/>
      <c r="B92" s="123" t="s">
        <v>9</v>
      </c>
      <c r="C92" s="124"/>
      <c r="D92" s="125"/>
      <c r="E92" s="125"/>
      <c r="F92" s="6"/>
      <c r="G92" s="126" t="s">
        <v>10</v>
      </c>
      <c r="H92" s="126"/>
      <c r="I92" s="126"/>
      <c r="J92" s="126"/>
      <c r="K92" s="6"/>
      <c r="L92" s="38" t="s">
        <v>9</v>
      </c>
      <c r="M92" s="137"/>
      <c r="N92" s="138"/>
      <c r="O92" s="107"/>
      <c r="P92" s="108"/>
      <c r="Q92" s="121"/>
      <c r="R92" s="133"/>
      <c r="S92" s="123" t="s">
        <v>9</v>
      </c>
      <c r="T92" s="124"/>
      <c r="U92" s="125"/>
      <c r="V92" s="125"/>
      <c r="W92" s="6"/>
      <c r="X92" s="126" t="s">
        <v>10</v>
      </c>
      <c r="Y92" s="126"/>
      <c r="Z92" s="126"/>
      <c r="AA92" s="126"/>
      <c r="AB92" s="6"/>
      <c r="AC92" s="38" t="s">
        <v>9</v>
      </c>
      <c r="AD92" s="137"/>
      <c r="AE92" s="138"/>
      <c r="AF92" s="107"/>
      <c r="AG92" s="108"/>
      <c r="AH92" s="121"/>
    </row>
    <row r="93" spans="1:34" ht="14.25" customHeight="1">
      <c r="A93" s="128"/>
      <c r="B93" s="99" t="s">
        <v>11</v>
      </c>
      <c r="C93" s="100"/>
      <c r="D93" s="101"/>
      <c r="E93" s="101"/>
      <c r="F93" s="47"/>
      <c r="G93" s="102" t="s">
        <v>12</v>
      </c>
      <c r="H93" s="102"/>
      <c r="I93" s="102"/>
      <c r="J93" s="102"/>
      <c r="K93" s="47"/>
      <c r="L93" s="48" t="s">
        <v>11</v>
      </c>
      <c r="M93" s="103"/>
      <c r="N93" s="104"/>
      <c r="O93" s="109"/>
      <c r="P93" s="110"/>
      <c r="Q93" s="122"/>
      <c r="R93" s="133"/>
      <c r="S93" s="99" t="s">
        <v>11</v>
      </c>
      <c r="T93" s="100"/>
      <c r="U93" s="101"/>
      <c r="V93" s="101"/>
      <c r="W93" s="47"/>
      <c r="X93" s="102" t="s">
        <v>12</v>
      </c>
      <c r="Y93" s="102"/>
      <c r="Z93" s="102"/>
      <c r="AA93" s="102"/>
      <c r="AB93" s="47"/>
      <c r="AC93" s="48" t="s">
        <v>11</v>
      </c>
      <c r="AD93" s="103"/>
      <c r="AE93" s="104"/>
      <c r="AF93" s="109"/>
      <c r="AG93" s="110"/>
      <c r="AH93" s="122"/>
    </row>
    <row r="94" spans="1:34" ht="15.75" customHeight="1">
      <c r="A94" s="128"/>
      <c r="B94" s="40"/>
      <c r="C94" s="129" t="str">
        <f>IF(Sheet2!R13=FALSE,"AD","CLEAN")</f>
        <v>AD</v>
      </c>
      <c r="D94" s="129"/>
      <c r="E94" s="129"/>
      <c r="F94" s="41"/>
      <c r="G94" s="41"/>
      <c r="H94" s="130" t="str">
        <f>IF((Sheet2!P13=1),"CC"," ")</f>
        <v xml:space="preserve"> </v>
      </c>
      <c r="I94" s="130"/>
      <c r="J94" s="41"/>
      <c r="K94" s="42"/>
      <c r="L94" s="42"/>
      <c r="M94" s="131" t="str">
        <f>(Date!V13)</f>
        <v/>
      </c>
      <c r="N94" s="132"/>
      <c r="O94" s="105" t="str">
        <f>(Code!J13)</f>
        <v/>
      </c>
      <c r="P94" s="106"/>
      <c r="Q94" s="111" t="str">
        <f>IF(Sheet2!R13=FALSE,"AD","CLEAN")</f>
        <v>AD</v>
      </c>
      <c r="R94" s="133"/>
      <c r="S94" s="40"/>
      <c r="T94" s="129" t="str">
        <f>IF(Sheet2!R17=FALSE,"AD","CLEAN")</f>
        <v>AD</v>
      </c>
      <c r="U94" s="129"/>
      <c r="V94" s="129"/>
      <c r="W94" s="41"/>
      <c r="X94" s="41"/>
      <c r="Y94" s="130" t="str">
        <f>IF((Sheet2!AE5=1),"CC"," ")</f>
        <v xml:space="preserve"> </v>
      </c>
      <c r="Z94" s="130"/>
      <c r="AA94" s="41"/>
      <c r="AB94" s="42"/>
      <c r="AC94" s="42"/>
      <c r="AD94" s="131" t="str">
        <f>(Date!V17)</f>
        <v/>
      </c>
      <c r="AE94" s="132"/>
      <c r="AF94" s="105" t="str">
        <f>(Code!J17)</f>
        <v/>
      </c>
      <c r="AG94" s="106"/>
      <c r="AH94" s="111" t="str">
        <f>IF(Sheet2!R17=FALSE,"AD","CLEAN")</f>
        <v>AD</v>
      </c>
    </row>
    <row r="95" spans="1:34" ht="15.75" customHeight="1">
      <c r="A95" s="128"/>
      <c r="B95" s="43" t="s">
        <v>0</v>
      </c>
      <c r="C95" s="113" t="str">
        <f>(Code!J13)</f>
        <v/>
      </c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4"/>
      <c r="O95" s="107"/>
      <c r="P95" s="108"/>
      <c r="Q95" s="112"/>
      <c r="R95" s="133"/>
      <c r="S95" s="43" t="s">
        <v>0</v>
      </c>
      <c r="T95" s="113" t="str">
        <f>(Code!J17)</f>
        <v/>
      </c>
      <c r="U95" s="113"/>
      <c r="V95" s="113"/>
      <c r="W95" s="113"/>
      <c r="X95" s="113"/>
      <c r="Y95" s="113"/>
      <c r="Z95" s="113"/>
      <c r="AA95" s="113"/>
      <c r="AB95" s="113"/>
      <c r="AC95" s="113"/>
      <c r="AD95" s="113"/>
      <c r="AE95" s="114"/>
      <c r="AF95" s="107"/>
      <c r="AG95" s="108"/>
      <c r="AH95" s="112"/>
    </row>
    <row r="96" spans="1:34" ht="9.75" customHeight="1">
      <c r="A96" s="128"/>
      <c r="B96" s="44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4"/>
      <c r="O96" s="107"/>
      <c r="P96" s="108"/>
      <c r="Q96" s="112"/>
      <c r="R96" s="133"/>
      <c r="S96" s="44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4"/>
      <c r="AF96" s="107"/>
      <c r="AG96" s="108"/>
      <c r="AH96" s="112"/>
    </row>
    <row r="97" spans="1:34" ht="11.25" customHeight="1">
      <c r="A97" s="128"/>
      <c r="B97" s="44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4"/>
      <c r="O97" s="107"/>
      <c r="P97" s="108"/>
      <c r="Q97" s="112"/>
      <c r="R97" s="133"/>
      <c r="S97" s="44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113"/>
      <c r="AE97" s="114"/>
      <c r="AF97" s="107"/>
      <c r="AG97" s="108"/>
      <c r="AH97" s="112"/>
    </row>
    <row r="98" spans="1:34" ht="15.75" customHeight="1">
      <c r="A98" s="128"/>
      <c r="B98" s="45" t="s">
        <v>1</v>
      </c>
      <c r="C98" s="115" t="str">
        <f>(Code!V13)</f>
        <v/>
      </c>
      <c r="D98" s="115"/>
      <c r="E98" s="115"/>
      <c r="F98" s="115"/>
      <c r="G98" s="115"/>
      <c r="H98" s="115"/>
      <c r="I98" s="115"/>
      <c r="J98" s="115"/>
      <c r="K98" s="115"/>
      <c r="L98" s="115"/>
      <c r="M98" s="115"/>
      <c r="N98" s="116"/>
      <c r="O98" s="107"/>
      <c r="P98" s="108"/>
      <c r="Q98" s="3" t="str">
        <f>IF((Sheet2!P13=1),"CC"," ")</f>
        <v xml:space="preserve"> </v>
      </c>
      <c r="R98" s="133"/>
      <c r="S98" s="45" t="s">
        <v>1</v>
      </c>
      <c r="T98" s="115" t="str">
        <f>(Code!V17)</f>
        <v/>
      </c>
      <c r="U98" s="115"/>
      <c r="V98" s="115"/>
      <c r="W98" s="115"/>
      <c r="X98" s="115"/>
      <c r="Y98" s="115"/>
      <c r="Z98" s="115"/>
      <c r="AA98" s="115"/>
      <c r="AB98" s="115"/>
      <c r="AC98" s="115"/>
      <c r="AD98" s="115"/>
      <c r="AE98" s="116"/>
      <c r="AF98" s="107"/>
      <c r="AG98" s="108"/>
      <c r="AH98" s="37" t="str">
        <f>IF((Sheet2!AE5=1),"CC"," ")</f>
        <v xml:space="preserve"> </v>
      </c>
    </row>
    <row r="99" spans="1:34" ht="10.5" customHeight="1">
      <c r="A99" s="128"/>
      <c r="B99" s="44"/>
      <c r="C99" s="115"/>
      <c r="D99" s="115"/>
      <c r="E99" s="115"/>
      <c r="F99" s="115"/>
      <c r="G99" s="115"/>
      <c r="H99" s="115"/>
      <c r="I99" s="115"/>
      <c r="J99" s="115"/>
      <c r="K99" s="115"/>
      <c r="L99" s="115"/>
      <c r="M99" s="115"/>
      <c r="N99" s="116"/>
      <c r="O99" s="107"/>
      <c r="P99" s="108"/>
      <c r="Q99" s="117" t="s">
        <v>2</v>
      </c>
      <c r="R99" s="133"/>
      <c r="S99" s="44"/>
      <c r="T99" s="115"/>
      <c r="U99" s="115"/>
      <c r="V99" s="115"/>
      <c r="W99" s="115"/>
      <c r="X99" s="115"/>
      <c r="Y99" s="115"/>
      <c r="Z99" s="115"/>
      <c r="AA99" s="115"/>
      <c r="AB99" s="115"/>
      <c r="AC99" s="115"/>
      <c r="AD99" s="115"/>
      <c r="AE99" s="116"/>
      <c r="AF99" s="107"/>
      <c r="AG99" s="108"/>
      <c r="AH99" s="117" t="s">
        <v>2</v>
      </c>
    </row>
    <row r="100" spans="1:34" ht="17.25" customHeight="1">
      <c r="A100" s="128"/>
      <c r="B100" s="44"/>
      <c r="C100" s="115"/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6"/>
      <c r="O100" s="107"/>
      <c r="P100" s="108"/>
      <c r="Q100" s="117"/>
      <c r="R100" s="133"/>
      <c r="S100" s="44"/>
      <c r="T100" s="115"/>
      <c r="U100" s="115"/>
      <c r="V100" s="115"/>
      <c r="W100" s="115"/>
      <c r="X100" s="115"/>
      <c r="Y100" s="115"/>
      <c r="Z100" s="115"/>
      <c r="AA100" s="115"/>
      <c r="AB100" s="115"/>
      <c r="AC100" s="115"/>
      <c r="AD100" s="115"/>
      <c r="AE100" s="116"/>
      <c r="AF100" s="107"/>
      <c r="AG100" s="108"/>
      <c r="AH100" s="117"/>
    </row>
    <row r="101" spans="1:34" ht="15" customHeight="1">
      <c r="A101" s="128"/>
      <c r="B101" s="45" t="s">
        <v>3</v>
      </c>
      <c r="C101" s="1"/>
      <c r="D101" s="2"/>
      <c r="E101" s="1"/>
      <c r="F101" s="1"/>
      <c r="G101" s="1"/>
      <c r="H101" s="1"/>
      <c r="I101" s="1"/>
      <c r="J101" s="1"/>
      <c r="K101" s="1"/>
      <c r="L101" s="1"/>
      <c r="M101" s="1"/>
      <c r="N101" s="46"/>
      <c r="O101" s="107"/>
      <c r="P101" s="108"/>
      <c r="Q101" s="117"/>
      <c r="R101" s="133"/>
      <c r="S101" s="45" t="s">
        <v>3</v>
      </c>
      <c r="T101" s="1"/>
      <c r="U101" s="2"/>
      <c r="V101" s="1"/>
      <c r="W101" s="1"/>
      <c r="X101" s="1"/>
      <c r="Y101" s="1"/>
      <c r="Z101" s="1"/>
      <c r="AA101" s="1"/>
      <c r="AB101" s="1"/>
      <c r="AC101" s="1"/>
      <c r="AD101" s="1"/>
      <c r="AE101" s="46"/>
      <c r="AF101" s="107"/>
      <c r="AG101" s="108"/>
      <c r="AH101" s="117"/>
    </row>
    <row r="102" spans="1:34" ht="22.5" customHeight="1">
      <c r="A102" s="128"/>
      <c r="B102" s="44"/>
      <c r="C102" s="39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46"/>
      <c r="O102" s="107"/>
      <c r="P102" s="108"/>
      <c r="Q102" s="26"/>
      <c r="R102" s="133"/>
      <c r="S102" s="44"/>
      <c r="T102" s="39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46"/>
      <c r="AF102" s="107"/>
      <c r="AG102" s="108"/>
      <c r="AH102" s="26"/>
    </row>
    <row r="103" spans="1:34" ht="15.75" customHeight="1">
      <c r="A103" s="128"/>
      <c r="B103" s="118" t="s">
        <v>4</v>
      </c>
      <c r="C103" s="119"/>
      <c r="D103" s="119"/>
      <c r="E103" s="119"/>
      <c r="F103" s="4"/>
      <c r="G103" s="120" t="s">
        <v>5</v>
      </c>
      <c r="H103" s="120"/>
      <c r="I103" s="120"/>
      <c r="J103" s="120"/>
      <c r="K103" s="5"/>
      <c r="L103" s="5"/>
      <c r="M103" s="5"/>
      <c r="N103" s="46"/>
      <c r="O103" s="107"/>
      <c r="P103" s="108"/>
      <c r="Q103" s="121" t="str">
        <f>(Date!V13)</f>
        <v/>
      </c>
      <c r="R103" s="133"/>
      <c r="S103" s="118" t="s">
        <v>4</v>
      </c>
      <c r="T103" s="119"/>
      <c r="U103" s="119"/>
      <c r="V103" s="119"/>
      <c r="W103" s="4"/>
      <c r="X103" s="120" t="s">
        <v>5</v>
      </c>
      <c r="Y103" s="120"/>
      <c r="Z103" s="120"/>
      <c r="AA103" s="120"/>
      <c r="AB103" s="5"/>
      <c r="AC103" s="5"/>
      <c r="AD103" s="5"/>
      <c r="AE103" s="46"/>
      <c r="AF103" s="107"/>
      <c r="AG103" s="108"/>
      <c r="AH103" s="121" t="str">
        <f>(Date!V17)</f>
        <v/>
      </c>
    </row>
    <row r="104" spans="1:34" ht="15.75">
      <c r="A104" s="128"/>
      <c r="B104" s="123" t="s">
        <v>6</v>
      </c>
      <c r="C104" s="124"/>
      <c r="D104" s="125"/>
      <c r="E104" s="125"/>
      <c r="F104" s="6"/>
      <c r="G104" s="126" t="s">
        <v>7</v>
      </c>
      <c r="H104" s="126"/>
      <c r="I104" s="127" t="s">
        <v>8</v>
      </c>
      <c r="J104" s="127"/>
      <c r="K104" s="6"/>
      <c r="L104" s="38" t="s">
        <v>6</v>
      </c>
      <c r="M104" s="137"/>
      <c r="N104" s="138"/>
      <c r="O104" s="107"/>
      <c r="P104" s="108"/>
      <c r="Q104" s="121"/>
      <c r="R104" s="133"/>
      <c r="S104" s="123" t="s">
        <v>6</v>
      </c>
      <c r="T104" s="124"/>
      <c r="U104" s="125"/>
      <c r="V104" s="125"/>
      <c r="W104" s="6"/>
      <c r="X104" s="126" t="s">
        <v>7</v>
      </c>
      <c r="Y104" s="126"/>
      <c r="Z104" s="127" t="s">
        <v>8</v>
      </c>
      <c r="AA104" s="127"/>
      <c r="AB104" s="6"/>
      <c r="AC104" s="38" t="s">
        <v>6</v>
      </c>
      <c r="AD104" s="137"/>
      <c r="AE104" s="138"/>
      <c r="AF104" s="107"/>
      <c r="AG104" s="108"/>
      <c r="AH104" s="121"/>
    </row>
    <row r="105" spans="1:34" ht="15.75">
      <c r="A105" s="128"/>
      <c r="B105" s="123" t="s">
        <v>9</v>
      </c>
      <c r="C105" s="124"/>
      <c r="D105" s="125"/>
      <c r="E105" s="125"/>
      <c r="F105" s="6"/>
      <c r="G105" s="126" t="s">
        <v>10</v>
      </c>
      <c r="H105" s="126"/>
      <c r="I105" s="126"/>
      <c r="J105" s="126"/>
      <c r="K105" s="6"/>
      <c r="L105" s="38" t="s">
        <v>9</v>
      </c>
      <c r="M105" s="137"/>
      <c r="N105" s="138"/>
      <c r="O105" s="107"/>
      <c r="P105" s="108"/>
      <c r="Q105" s="121"/>
      <c r="R105" s="133"/>
      <c r="S105" s="123" t="s">
        <v>9</v>
      </c>
      <c r="T105" s="124"/>
      <c r="U105" s="125"/>
      <c r="V105" s="125"/>
      <c r="W105" s="6"/>
      <c r="X105" s="126" t="s">
        <v>10</v>
      </c>
      <c r="Y105" s="126"/>
      <c r="Z105" s="126"/>
      <c r="AA105" s="126"/>
      <c r="AB105" s="6"/>
      <c r="AC105" s="38" t="s">
        <v>9</v>
      </c>
      <c r="AD105" s="137"/>
      <c r="AE105" s="138"/>
      <c r="AF105" s="107"/>
      <c r="AG105" s="108"/>
      <c r="AH105" s="121"/>
    </row>
    <row r="106" spans="1:34" ht="14.25" customHeight="1">
      <c r="A106" s="128"/>
      <c r="B106" s="99" t="s">
        <v>11</v>
      </c>
      <c r="C106" s="100"/>
      <c r="D106" s="101"/>
      <c r="E106" s="101"/>
      <c r="F106" s="47"/>
      <c r="G106" s="102" t="s">
        <v>12</v>
      </c>
      <c r="H106" s="102"/>
      <c r="I106" s="102"/>
      <c r="J106" s="102"/>
      <c r="K106" s="47"/>
      <c r="L106" s="48" t="s">
        <v>11</v>
      </c>
      <c r="M106" s="103"/>
      <c r="N106" s="104"/>
      <c r="O106" s="109"/>
      <c r="P106" s="110"/>
      <c r="Q106" s="122"/>
      <c r="R106" s="133"/>
      <c r="S106" s="99" t="s">
        <v>11</v>
      </c>
      <c r="T106" s="100"/>
      <c r="U106" s="101"/>
      <c r="V106" s="101"/>
      <c r="W106" s="47"/>
      <c r="X106" s="102" t="s">
        <v>12</v>
      </c>
      <c r="Y106" s="102"/>
      <c r="Z106" s="102"/>
      <c r="AA106" s="102"/>
      <c r="AB106" s="47"/>
      <c r="AC106" s="48" t="s">
        <v>11</v>
      </c>
      <c r="AD106" s="103"/>
      <c r="AE106" s="104"/>
      <c r="AF106" s="109"/>
      <c r="AG106" s="110"/>
      <c r="AH106" s="122"/>
    </row>
    <row r="107" spans="1:34">
      <c r="A107" s="36"/>
    </row>
    <row r="108" spans="1:34" ht="15.75" customHeight="1">
      <c r="A108" s="128"/>
      <c r="B108" s="40"/>
      <c r="C108" s="129" t="str">
        <f>IF(Sheet2!R18=FALSE,"AD","CLEAN")</f>
        <v>AD</v>
      </c>
      <c r="D108" s="129"/>
      <c r="E108" s="129"/>
      <c r="F108" s="41"/>
      <c r="G108" s="41"/>
      <c r="H108" s="130" t="str">
        <f>IF((Sheet2!N6=1),"CC"," ")</f>
        <v xml:space="preserve"> </v>
      </c>
      <c r="I108" s="130"/>
      <c r="J108" s="41"/>
      <c r="K108" s="42"/>
      <c r="L108" s="42"/>
      <c r="M108" s="131" t="str">
        <f>(Date!V18)</f>
        <v/>
      </c>
      <c r="N108" s="132"/>
      <c r="O108" s="105" t="str">
        <f>(Code!J18)</f>
        <v/>
      </c>
      <c r="P108" s="106"/>
      <c r="Q108" s="111" t="str">
        <f>IF(Sheet2!R18=FALSE,"AD","CLEAN")</f>
        <v>AD</v>
      </c>
      <c r="R108" s="133"/>
      <c r="S108" s="40"/>
      <c r="T108" s="129" t="str">
        <f>IF(Sheet2!R22=FALSE,"AD","CLEAN")</f>
        <v>AD</v>
      </c>
      <c r="U108" s="129"/>
      <c r="V108" s="129"/>
      <c r="W108" s="41"/>
      <c r="X108" s="41"/>
      <c r="Y108" s="130" t="str">
        <f>IF((Sheet2!AE6=1),"CC"," ")</f>
        <v xml:space="preserve"> </v>
      </c>
      <c r="Z108" s="130"/>
      <c r="AA108" s="41"/>
      <c r="AB108" s="42"/>
      <c r="AC108" s="42"/>
      <c r="AD108" s="131" t="str">
        <f>(Date!V22)</f>
        <v/>
      </c>
      <c r="AE108" s="132"/>
      <c r="AF108" s="105" t="str">
        <f>(Code!J22)</f>
        <v/>
      </c>
      <c r="AG108" s="106"/>
      <c r="AH108" s="111" t="str">
        <f>IF(Sheet2!R22=FALSE,"AD","CLEAN")</f>
        <v>AD</v>
      </c>
    </row>
    <row r="109" spans="1:34" ht="15" customHeight="1">
      <c r="A109" s="128"/>
      <c r="B109" s="43" t="s">
        <v>0</v>
      </c>
      <c r="C109" s="113" t="str">
        <f>(Code!J18)</f>
        <v/>
      </c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4"/>
      <c r="O109" s="107"/>
      <c r="P109" s="108"/>
      <c r="Q109" s="112"/>
      <c r="R109" s="133"/>
      <c r="S109" s="43" t="s">
        <v>0</v>
      </c>
      <c r="T109" s="113" t="str">
        <f>(Code!J22)</f>
        <v/>
      </c>
      <c r="U109" s="113"/>
      <c r="V109" s="113"/>
      <c r="W109" s="113"/>
      <c r="X109" s="113"/>
      <c r="Y109" s="113"/>
      <c r="Z109" s="113"/>
      <c r="AA109" s="113"/>
      <c r="AB109" s="113"/>
      <c r="AC109" s="113"/>
      <c r="AD109" s="113"/>
      <c r="AE109" s="114"/>
      <c r="AF109" s="107"/>
      <c r="AG109" s="108"/>
      <c r="AH109" s="112"/>
    </row>
    <row r="110" spans="1:34" ht="9.75" customHeight="1">
      <c r="A110" s="128"/>
      <c r="B110" s="44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4"/>
      <c r="O110" s="107"/>
      <c r="P110" s="108"/>
      <c r="Q110" s="112"/>
      <c r="R110" s="133"/>
      <c r="S110" s="44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113"/>
      <c r="AE110" s="114"/>
      <c r="AF110" s="107"/>
      <c r="AG110" s="108"/>
      <c r="AH110" s="112"/>
    </row>
    <row r="111" spans="1:34" ht="11.25" customHeight="1">
      <c r="A111" s="128"/>
      <c r="B111" s="44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4"/>
      <c r="O111" s="107"/>
      <c r="P111" s="108"/>
      <c r="Q111" s="112"/>
      <c r="R111" s="133"/>
      <c r="S111" s="44"/>
      <c r="T111" s="113"/>
      <c r="U111" s="113"/>
      <c r="V111" s="113"/>
      <c r="W111" s="113"/>
      <c r="X111" s="113"/>
      <c r="Y111" s="113"/>
      <c r="Z111" s="113"/>
      <c r="AA111" s="113"/>
      <c r="AB111" s="113"/>
      <c r="AC111" s="113"/>
      <c r="AD111" s="113"/>
      <c r="AE111" s="114"/>
      <c r="AF111" s="107"/>
      <c r="AG111" s="108"/>
      <c r="AH111" s="112"/>
    </row>
    <row r="112" spans="1:34" ht="15" customHeight="1">
      <c r="A112" s="128"/>
      <c r="B112" s="45" t="s">
        <v>1</v>
      </c>
      <c r="C112" s="115" t="str">
        <f>(Code!V18)</f>
        <v/>
      </c>
      <c r="D112" s="115"/>
      <c r="E112" s="115"/>
      <c r="F112" s="115"/>
      <c r="G112" s="115"/>
      <c r="H112" s="115"/>
      <c r="I112" s="115"/>
      <c r="J112" s="115"/>
      <c r="K112" s="115"/>
      <c r="L112" s="115"/>
      <c r="M112" s="115"/>
      <c r="N112" s="116"/>
      <c r="O112" s="107"/>
      <c r="P112" s="108"/>
      <c r="Q112" s="3" t="str">
        <f>IF((Sheet2!N6=1),"CC"," ")</f>
        <v xml:space="preserve"> </v>
      </c>
      <c r="R112" s="133"/>
      <c r="S112" s="45" t="s">
        <v>1</v>
      </c>
      <c r="T112" s="115" t="str">
        <f>(Code!V22)</f>
        <v/>
      </c>
      <c r="U112" s="115"/>
      <c r="V112" s="115"/>
      <c r="W112" s="115"/>
      <c r="X112" s="115"/>
      <c r="Y112" s="115"/>
      <c r="Z112" s="115"/>
      <c r="AA112" s="115"/>
      <c r="AB112" s="115"/>
      <c r="AC112" s="115"/>
      <c r="AD112" s="115"/>
      <c r="AE112" s="116"/>
      <c r="AF112" s="107"/>
      <c r="AG112" s="108"/>
      <c r="AH112" s="37" t="str">
        <f>IF((Sheet2!AE6=1),"CC"," ")</f>
        <v xml:space="preserve"> </v>
      </c>
    </row>
    <row r="113" spans="1:34" ht="10.5" customHeight="1">
      <c r="A113" s="128"/>
      <c r="B113" s="44"/>
      <c r="C113" s="115"/>
      <c r="D113" s="115"/>
      <c r="E113" s="115"/>
      <c r="F113" s="115"/>
      <c r="G113" s="115"/>
      <c r="H113" s="115"/>
      <c r="I113" s="115"/>
      <c r="J113" s="115"/>
      <c r="K113" s="115"/>
      <c r="L113" s="115"/>
      <c r="M113" s="115"/>
      <c r="N113" s="116"/>
      <c r="O113" s="107"/>
      <c r="P113" s="108"/>
      <c r="Q113" s="117" t="s">
        <v>2</v>
      </c>
      <c r="R113" s="133"/>
      <c r="S113" s="44"/>
      <c r="T113" s="115"/>
      <c r="U113" s="115"/>
      <c r="V113" s="115"/>
      <c r="W113" s="115"/>
      <c r="X113" s="115"/>
      <c r="Y113" s="115"/>
      <c r="Z113" s="115"/>
      <c r="AA113" s="115"/>
      <c r="AB113" s="115"/>
      <c r="AC113" s="115"/>
      <c r="AD113" s="115"/>
      <c r="AE113" s="116"/>
      <c r="AF113" s="107"/>
      <c r="AG113" s="108"/>
      <c r="AH113" s="117" t="s">
        <v>2</v>
      </c>
    </row>
    <row r="114" spans="1:34" ht="12.75" customHeight="1">
      <c r="A114" s="128"/>
      <c r="B114" s="44"/>
      <c r="C114" s="115"/>
      <c r="D114" s="115"/>
      <c r="E114" s="115"/>
      <c r="F114" s="115"/>
      <c r="G114" s="115"/>
      <c r="H114" s="115"/>
      <c r="I114" s="115"/>
      <c r="J114" s="115"/>
      <c r="K114" s="115"/>
      <c r="L114" s="115"/>
      <c r="M114" s="115"/>
      <c r="N114" s="116"/>
      <c r="O114" s="107"/>
      <c r="P114" s="108"/>
      <c r="Q114" s="117"/>
      <c r="R114" s="133"/>
      <c r="S114" s="44"/>
      <c r="T114" s="115"/>
      <c r="U114" s="115"/>
      <c r="V114" s="115"/>
      <c r="W114" s="115"/>
      <c r="X114" s="115"/>
      <c r="Y114" s="115"/>
      <c r="Z114" s="115"/>
      <c r="AA114" s="115"/>
      <c r="AB114" s="115"/>
      <c r="AC114" s="115"/>
      <c r="AD114" s="115"/>
      <c r="AE114" s="116"/>
      <c r="AF114" s="107"/>
      <c r="AG114" s="108"/>
      <c r="AH114" s="117"/>
    </row>
    <row r="115" spans="1:34" ht="15.75" customHeight="1">
      <c r="A115" s="128"/>
      <c r="B115" s="45" t="s">
        <v>3</v>
      </c>
      <c r="C115" s="1"/>
      <c r="D115" s="2"/>
      <c r="E115" s="1"/>
      <c r="F115" s="1"/>
      <c r="G115" s="1"/>
      <c r="H115" s="1"/>
      <c r="I115" s="1"/>
      <c r="J115" s="1"/>
      <c r="K115" s="1"/>
      <c r="L115" s="1"/>
      <c r="M115" s="1"/>
      <c r="N115" s="46"/>
      <c r="O115" s="107"/>
      <c r="P115" s="108"/>
      <c r="Q115" s="117"/>
      <c r="R115" s="133"/>
      <c r="S115" s="45" t="s">
        <v>3</v>
      </c>
      <c r="T115" s="1"/>
      <c r="U115" s="2"/>
      <c r="V115" s="1"/>
      <c r="W115" s="1"/>
      <c r="X115" s="1"/>
      <c r="Y115" s="1"/>
      <c r="Z115" s="1"/>
      <c r="AA115" s="1"/>
      <c r="AB115" s="1"/>
      <c r="AC115" s="1"/>
      <c r="AD115" s="1"/>
      <c r="AE115" s="46"/>
      <c r="AF115" s="107"/>
      <c r="AG115" s="108"/>
      <c r="AH115" s="117"/>
    </row>
    <row r="116" spans="1:34" ht="22.5" customHeight="1">
      <c r="A116" s="128"/>
      <c r="B116" s="44"/>
      <c r="C116" s="39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46"/>
      <c r="O116" s="107"/>
      <c r="P116" s="108"/>
      <c r="Q116" s="26"/>
      <c r="R116" s="133"/>
      <c r="S116" s="44"/>
      <c r="T116" s="39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46"/>
      <c r="AF116" s="107"/>
      <c r="AG116" s="108"/>
      <c r="AH116" s="26"/>
    </row>
    <row r="117" spans="1:34" ht="15.75">
      <c r="A117" s="128"/>
      <c r="B117" s="118" t="s">
        <v>4</v>
      </c>
      <c r="C117" s="119"/>
      <c r="D117" s="119"/>
      <c r="E117" s="119"/>
      <c r="F117" s="4"/>
      <c r="G117" s="120" t="s">
        <v>5</v>
      </c>
      <c r="H117" s="120"/>
      <c r="I117" s="120"/>
      <c r="J117" s="120"/>
      <c r="K117" s="5"/>
      <c r="L117" s="5"/>
      <c r="M117" s="5"/>
      <c r="N117" s="46"/>
      <c r="O117" s="107"/>
      <c r="P117" s="108"/>
      <c r="Q117" s="121" t="str">
        <f>(Date!V18)</f>
        <v/>
      </c>
      <c r="R117" s="133"/>
      <c r="S117" s="118" t="s">
        <v>4</v>
      </c>
      <c r="T117" s="119"/>
      <c r="U117" s="119"/>
      <c r="V117" s="119"/>
      <c r="W117" s="4"/>
      <c r="X117" s="120" t="s">
        <v>5</v>
      </c>
      <c r="Y117" s="120"/>
      <c r="Z117" s="120"/>
      <c r="AA117" s="120"/>
      <c r="AB117" s="5"/>
      <c r="AC117" s="5"/>
      <c r="AD117" s="5"/>
      <c r="AE117" s="46"/>
      <c r="AF117" s="107"/>
      <c r="AG117" s="108"/>
      <c r="AH117" s="121" t="str">
        <f>(Date!V22)</f>
        <v/>
      </c>
    </row>
    <row r="118" spans="1:34" ht="15.75">
      <c r="A118" s="128"/>
      <c r="B118" s="123" t="s">
        <v>6</v>
      </c>
      <c r="C118" s="124"/>
      <c r="D118" s="125"/>
      <c r="E118" s="125"/>
      <c r="F118" s="6"/>
      <c r="G118" s="126" t="s">
        <v>7</v>
      </c>
      <c r="H118" s="126"/>
      <c r="I118" s="127" t="s">
        <v>8</v>
      </c>
      <c r="J118" s="127"/>
      <c r="K118" s="6"/>
      <c r="L118" s="38" t="s">
        <v>6</v>
      </c>
      <c r="M118" s="137"/>
      <c r="N118" s="138"/>
      <c r="O118" s="107"/>
      <c r="P118" s="108"/>
      <c r="Q118" s="121"/>
      <c r="R118" s="133"/>
      <c r="S118" s="123" t="s">
        <v>6</v>
      </c>
      <c r="T118" s="124"/>
      <c r="U118" s="125"/>
      <c r="V118" s="125"/>
      <c r="W118" s="6"/>
      <c r="X118" s="126" t="s">
        <v>7</v>
      </c>
      <c r="Y118" s="126"/>
      <c r="Z118" s="127" t="s">
        <v>8</v>
      </c>
      <c r="AA118" s="127"/>
      <c r="AB118" s="6"/>
      <c r="AC118" s="38" t="s">
        <v>6</v>
      </c>
      <c r="AD118" s="137"/>
      <c r="AE118" s="138"/>
      <c r="AF118" s="107"/>
      <c r="AG118" s="108"/>
      <c r="AH118" s="121"/>
    </row>
    <row r="119" spans="1:34" ht="15.75">
      <c r="A119" s="128"/>
      <c r="B119" s="123" t="s">
        <v>9</v>
      </c>
      <c r="C119" s="124"/>
      <c r="D119" s="125"/>
      <c r="E119" s="125"/>
      <c r="F119" s="6"/>
      <c r="G119" s="126" t="s">
        <v>10</v>
      </c>
      <c r="H119" s="126"/>
      <c r="I119" s="126"/>
      <c r="J119" s="126"/>
      <c r="K119" s="6"/>
      <c r="L119" s="38" t="s">
        <v>9</v>
      </c>
      <c r="M119" s="137"/>
      <c r="N119" s="138"/>
      <c r="O119" s="107"/>
      <c r="P119" s="108"/>
      <c r="Q119" s="121"/>
      <c r="R119" s="133"/>
      <c r="S119" s="123" t="s">
        <v>9</v>
      </c>
      <c r="T119" s="124"/>
      <c r="U119" s="125"/>
      <c r="V119" s="125"/>
      <c r="W119" s="6"/>
      <c r="X119" s="126" t="s">
        <v>10</v>
      </c>
      <c r="Y119" s="126"/>
      <c r="Z119" s="126"/>
      <c r="AA119" s="126"/>
      <c r="AB119" s="6"/>
      <c r="AC119" s="38" t="s">
        <v>9</v>
      </c>
      <c r="AD119" s="137"/>
      <c r="AE119" s="138"/>
      <c r="AF119" s="107"/>
      <c r="AG119" s="108"/>
      <c r="AH119" s="121"/>
    </row>
    <row r="120" spans="1:34" ht="14.25" customHeight="1">
      <c r="A120" s="128"/>
      <c r="B120" s="99" t="s">
        <v>11</v>
      </c>
      <c r="C120" s="100"/>
      <c r="D120" s="101"/>
      <c r="E120" s="101"/>
      <c r="F120" s="47"/>
      <c r="G120" s="102" t="s">
        <v>12</v>
      </c>
      <c r="H120" s="102"/>
      <c r="I120" s="102"/>
      <c r="J120" s="102"/>
      <c r="K120" s="47"/>
      <c r="L120" s="48" t="s">
        <v>11</v>
      </c>
      <c r="M120" s="103"/>
      <c r="N120" s="104"/>
      <c r="O120" s="109"/>
      <c r="P120" s="110"/>
      <c r="Q120" s="122"/>
      <c r="R120" s="133"/>
      <c r="S120" s="99" t="s">
        <v>11</v>
      </c>
      <c r="T120" s="100"/>
      <c r="U120" s="101"/>
      <c r="V120" s="101"/>
      <c r="W120" s="47"/>
      <c r="X120" s="102" t="s">
        <v>12</v>
      </c>
      <c r="Y120" s="102"/>
      <c r="Z120" s="102"/>
      <c r="AA120" s="102"/>
      <c r="AB120" s="47"/>
      <c r="AC120" s="48" t="s">
        <v>11</v>
      </c>
      <c r="AD120" s="103"/>
      <c r="AE120" s="104"/>
      <c r="AF120" s="109"/>
      <c r="AG120" s="110"/>
      <c r="AH120" s="122"/>
    </row>
    <row r="121" spans="1:34" ht="15.75" customHeight="1">
      <c r="A121" s="128"/>
      <c r="B121" s="40"/>
      <c r="C121" s="129" t="str">
        <f>IF(Sheet2!R19=FALSE,"AD","CLEAN")</f>
        <v>AD</v>
      </c>
      <c r="D121" s="129"/>
      <c r="E121" s="129"/>
      <c r="F121" s="41"/>
      <c r="G121" s="41"/>
      <c r="H121" s="130" t="str">
        <f>IF((Sheet2!N6=1),"CC"," ")</f>
        <v xml:space="preserve"> </v>
      </c>
      <c r="I121" s="130"/>
      <c r="J121" s="41"/>
      <c r="K121" s="42"/>
      <c r="L121" s="42"/>
      <c r="M121" s="131" t="str">
        <f>(Date!V19)</f>
        <v/>
      </c>
      <c r="N121" s="132"/>
      <c r="O121" s="134" t="str">
        <f>(Code!J19)</f>
        <v/>
      </c>
      <c r="P121" s="134"/>
      <c r="Q121" s="111" t="str">
        <f>IF(Sheet2!R19=FALSE,"AD","CLEAN")</f>
        <v>AD</v>
      </c>
      <c r="R121" s="133"/>
      <c r="S121" s="40"/>
      <c r="T121" s="129" t="str">
        <f>IF(Sheet2!R23=FALSE,"AD","CLEAN")</f>
        <v>AD</v>
      </c>
      <c r="U121" s="129"/>
      <c r="V121" s="129"/>
      <c r="W121" s="41"/>
      <c r="X121" s="41"/>
      <c r="Y121" s="130" t="str">
        <f>IF((Sheet2!AE6=1),"CC"," ")</f>
        <v xml:space="preserve"> </v>
      </c>
      <c r="Z121" s="130"/>
      <c r="AA121" s="41"/>
      <c r="AB121" s="42"/>
      <c r="AC121" s="42"/>
      <c r="AD121" s="131" t="str">
        <f>(Date!V23)</f>
        <v/>
      </c>
      <c r="AE121" s="132"/>
      <c r="AF121" s="134" t="str">
        <f>(Code!J23)</f>
        <v/>
      </c>
      <c r="AG121" s="134"/>
      <c r="AH121" s="111" t="str">
        <f>IF(Sheet2!R23=FALSE,"AD","CLEAN")</f>
        <v>AD</v>
      </c>
    </row>
    <row r="122" spans="1:34" ht="15" customHeight="1">
      <c r="A122" s="128"/>
      <c r="B122" s="43" t="s">
        <v>0</v>
      </c>
      <c r="C122" s="113" t="str">
        <f>(Code!J19)</f>
        <v/>
      </c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4"/>
      <c r="O122" s="135"/>
      <c r="P122" s="135"/>
      <c r="Q122" s="112"/>
      <c r="R122" s="133"/>
      <c r="S122" s="43" t="s">
        <v>0</v>
      </c>
      <c r="T122" s="113" t="str">
        <f>(Code!J23)</f>
        <v/>
      </c>
      <c r="U122" s="113"/>
      <c r="V122" s="113"/>
      <c r="W122" s="113"/>
      <c r="X122" s="113"/>
      <c r="Y122" s="113"/>
      <c r="Z122" s="113"/>
      <c r="AA122" s="113"/>
      <c r="AB122" s="113"/>
      <c r="AC122" s="113"/>
      <c r="AD122" s="113"/>
      <c r="AE122" s="114"/>
      <c r="AF122" s="135"/>
      <c r="AG122" s="135"/>
      <c r="AH122" s="112"/>
    </row>
    <row r="123" spans="1:34" ht="9.75" customHeight="1">
      <c r="A123" s="128"/>
      <c r="B123" s="44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4"/>
      <c r="O123" s="135"/>
      <c r="P123" s="135"/>
      <c r="Q123" s="112"/>
      <c r="R123" s="133"/>
      <c r="S123" s="44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113"/>
      <c r="AE123" s="114"/>
      <c r="AF123" s="135"/>
      <c r="AG123" s="135"/>
      <c r="AH123" s="112"/>
    </row>
    <row r="124" spans="1:34" ht="11.25" customHeight="1">
      <c r="A124" s="128"/>
      <c r="B124" s="44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4"/>
      <c r="O124" s="135"/>
      <c r="P124" s="135"/>
      <c r="Q124" s="112"/>
      <c r="R124" s="133"/>
      <c r="S124" s="44"/>
      <c r="T124" s="113"/>
      <c r="U124" s="113"/>
      <c r="V124" s="113"/>
      <c r="W124" s="113"/>
      <c r="X124" s="113"/>
      <c r="Y124" s="113"/>
      <c r="Z124" s="113"/>
      <c r="AA124" s="113"/>
      <c r="AB124" s="113"/>
      <c r="AC124" s="113"/>
      <c r="AD124" s="113"/>
      <c r="AE124" s="114"/>
      <c r="AF124" s="135"/>
      <c r="AG124" s="135"/>
      <c r="AH124" s="112"/>
    </row>
    <row r="125" spans="1:34" ht="15" customHeight="1">
      <c r="A125" s="128"/>
      <c r="B125" s="45" t="s">
        <v>1</v>
      </c>
      <c r="C125" s="115" t="str">
        <f>(Code!V19)</f>
        <v/>
      </c>
      <c r="D125" s="115"/>
      <c r="E125" s="115"/>
      <c r="F125" s="115"/>
      <c r="G125" s="115"/>
      <c r="H125" s="115"/>
      <c r="I125" s="115"/>
      <c r="J125" s="115"/>
      <c r="K125" s="115"/>
      <c r="L125" s="115"/>
      <c r="M125" s="115"/>
      <c r="N125" s="116"/>
      <c r="O125" s="135"/>
      <c r="P125" s="135"/>
      <c r="Q125" s="3" t="str">
        <f>IF((Sheet2!N6=1),"CC"," ")</f>
        <v xml:space="preserve"> </v>
      </c>
      <c r="R125" s="133"/>
      <c r="S125" s="45" t="s">
        <v>1</v>
      </c>
      <c r="T125" s="115" t="str">
        <f>(Code!V23)</f>
        <v/>
      </c>
      <c r="U125" s="115"/>
      <c r="V125" s="115"/>
      <c r="W125" s="115"/>
      <c r="X125" s="115"/>
      <c r="Y125" s="115"/>
      <c r="Z125" s="115"/>
      <c r="AA125" s="115"/>
      <c r="AB125" s="115"/>
      <c r="AC125" s="115"/>
      <c r="AD125" s="115"/>
      <c r="AE125" s="116"/>
      <c r="AF125" s="135"/>
      <c r="AG125" s="135"/>
      <c r="AH125" s="37" t="str">
        <f>IF((Sheet2!AE6=1),"CC"," ")</f>
        <v xml:space="preserve"> </v>
      </c>
    </row>
    <row r="126" spans="1:34" ht="10.5" customHeight="1">
      <c r="A126" s="128"/>
      <c r="B126" s="44"/>
      <c r="C126" s="115"/>
      <c r="D126" s="115"/>
      <c r="E126" s="115"/>
      <c r="F126" s="115"/>
      <c r="G126" s="115"/>
      <c r="H126" s="115"/>
      <c r="I126" s="115"/>
      <c r="J126" s="115"/>
      <c r="K126" s="115"/>
      <c r="L126" s="115"/>
      <c r="M126" s="115"/>
      <c r="N126" s="116"/>
      <c r="O126" s="135"/>
      <c r="P126" s="135"/>
      <c r="Q126" s="117" t="s">
        <v>2</v>
      </c>
      <c r="R126" s="133"/>
      <c r="S126" s="44"/>
      <c r="T126" s="115"/>
      <c r="U126" s="115"/>
      <c r="V126" s="115"/>
      <c r="W126" s="115"/>
      <c r="X126" s="115"/>
      <c r="Y126" s="115"/>
      <c r="Z126" s="115"/>
      <c r="AA126" s="115"/>
      <c r="AB126" s="115"/>
      <c r="AC126" s="115"/>
      <c r="AD126" s="115"/>
      <c r="AE126" s="116"/>
      <c r="AF126" s="135"/>
      <c r="AG126" s="135"/>
      <c r="AH126" s="117" t="s">
        <v>2</v>
      </c>
    </row>
    <row r="127" spans="1:34" ht="12.75" customHeight="1">
      <c r="A127" s="128"/>
      <c r="B127" s="44"/>
      <c r="C127" s="115"/>
      <c r="D127" s="115"/>
      <c r="E127" s="115"/>
      <c r="F127" s="115"/>
      <c r="G127" s="115"/>
      <c r="H127" s="115"/>
      <c r="I127" s="115"/>
      <c r="J127" s="115"/>
      <c r="K127" s="115"/>
      <c r="L127" s="115"/>
      <c r="M127" s="115"/>
      <c r="N127" s="116"/>
      <c r="O127" s="135"/>
      <c r="P127" s="135"/>
      <c r="Q127" s="117"/>
      <c r="R127" s="133"/>
      <c r="S127" s="44"/>
      <c r="T127" s="115"/>
      <c r="U127" s="115"/>
      <c r="V127" s="115"/>
      <c r="W127" s="115"/>
      <c r="X127" s="115"/>
      <c r="Y127" s="115"/>
      <c r="Z127" s="115"/>
      <c r="AA127" s="115"/>
      <c r="AB127" s="115"/>
      <c r="AC127" s="115"/>
      <c r="AD127" s="115"/>
      <c r="AE127" s="116"/>
      <c r="AF127" s="135"/>
      <c r="AG127" s="135"/>
      <c r="AH127" s="117"/>
    </row>
    <row r="128" spans="1:34" ht="15.75" customHeight="1">
      <c r="A128" s="128"/>
      <c r="B128" s="45" t="s">
        <v>3</v>
      </c>
      <c r="C128" s="1"/>
      <c r="D128" s="2"/>
      <c r="E128" s="1"/>
      <c r="F128" s="1"/>
      <c r="G128" s="1"/>
      <c r="H128" s="1"/>
      <c r="I128" s="1"/>
      <c r="J128" s="1"/>
      <c r="K128" s="1"/>
      <c r="L128" s="1"/>
      <c r="M128" s="1"/>
      <c r="N128" s="46"/>
      <c r="O128" s="135"/>
      <c r="P128" s="135"/>
      <c r="Q128" s="117"/>
      <c r="R128" s="133"/>
      <c r="S128" s="45" t="s">
        <v>3</v>
      </c>
      <c r="T128" s="1"/>
      <c r="U128" s="2"/>
      <c r="V128" s="1"/>
      <c r="W128" s="1"/>
      <c r="X128" s="1"/>
      <c r="Y128" s="1"/>
      <c r="Z128" s="1"/>
      <c r="AA128" s="1"/>
      <c r="AB128" s="1"/>
      <c r="AC128" s="1"/>
      <c r="AD128" s="1"/>
      <c r="AE128" s="46"/>
      <c r="AF128" s="135"/>
      <c r="AG128" s="135"/>
      <c r="AH128" s="117"/>
    </row>
    <row r="129" spans="1:34" ht="25.5" customHeight="1">
      <c r="A129" s="128"/>
      <c r="B129" s="44"/>
      <c r="C129" s="39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46"/>
      <c r="O129" s="135"/>
      <c r="P129" s="135"/>
      <c r="Q129" s="26"/>
      <c r="R129" s="133"/>
      <c r="S129" s="44"/>
      <c r="T129" s="39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46"/>
      <c r="AF129" s="135"/>
      <c r="AG129" s="135"/>
      <c r="AH129" s="26"/>
    </row>
    <row r="130" spans="1:34" ht="15.75">
      <c r="A130" s="128"/>
      <c r="B130" s="118" t="s">
        <v>4</v>
      </c>
      <c r="C130" s="119"/>
      <c r="D130" s="119"/>
      <c r="E130" s="119"/>
      <c r="F130" s="4"/>
      <c r="G130" s="120" t="s">
        <v>5</v>
      </c>
      <c r="H130" s="120"/>
      <c r="I130" s="120"/>
      <c r="J130" s="120"/>
      <c r="K130" s="5"/>
      <c r="L130" s="5"/>
      <c r="M130" s="5"/>
      <c r="N130" s="46"/>
      <c r="O130" s="135"/>
      <c r="P130" s="135"/>
      <c r="Q130" s="121" t="str">
        <f>(Date!V19)</f>
        <v/>
      </c>
      <c r="R130" s="133"/>
      <c r="S130" s="118" t="s">
        <v>4</v>
      </c>
      <c r="T130" s="119"/>
      <c r="U130" s="119"/>
      <c r="V130" s="119"/>
      <c r="W130" s="4"/>
      <c r="X130" s="120" t="s">
        <v>5</v>
      </c>
      <c r="Y130" s="120"/>
      <c r="Z130" s="120"/>
      <c r="AA130" s="120"/>
      <c r="AB130" s="5"/>
      <c r="AC130" s="5"/>
      <c r="AD130" s="5"/>
      <c r="AE130" s="46"/>
      <c r="AF130" s="135"/>
      <c r="AG130" s="135"/>
      <c r="AH130" s="121" t="str">
        <f>(Date!V23)</f>
        <v/>
      </c>
    </row>
    <row r="131" spans="1:34" ht="15.75">
      <c r="A131" s="128"/>
      <c r="B131" s="123" t="s">
        <v>6</v>
      </c>
      <c r="C131" s="124"/>
      <c r="D131" s="125"/>
      <c r="E131" s="125"/>
      <c r="F131" s="6"/>
      <c r="G131" s="126" t="s">
        <v>7</v>
      </c>
      <c r="H131" s="126"/>
      <c r="I131" s="127" t="s">
        <v>8</v>
      </c>
      <c r="J131" s="127"/>
      <c r="K131" s="6"/>
      <c r="L131" s="38" t="s">
        <v>6</v>
      </c>
      <c r="M131" s="137"/>
      <c r="N131" s="138"/>
      <c r="O131" s="135"/>
      <c r="P131" s="135"/>
      <c r="Q131" s="121"/>
      <c r="R131" s="133"/>
      <c r="S131" s="123" t="s">
        <v>6</v>
      </c>
      <c r="T131" s="124"/>
      <c r="U131" s="125"/>
      <c r="V131" s="125"/>
      <c r="W131" s="6"/>
      <c r="X131" s="126" t="s">
        <v>7</v>
      </c>
      <c r="Y131" s="126"/>
      <c r="Z131" s="127" t="s">
        <v>8</v>
      </c>
      <c r="AA131" s="127"/>
      <c r="AB131" s="6"/>
      <c r="AC131" s="38" t="s">
        <v>6</v>
      </c>
      <c r="AD131" s="137"/>
      <c r="AE131" s="138"/>
      <c r="AF131" s="135"/>
      <c r="AG131" s="135"/>
      <c r="AH131" s="121"/>
    </row>
    <row r="132" spans="1:34" ht="15.75">
      <c r="A132" s="128"/>
      <c r="B132" s="123" t="s">
        <v>9</v>
      </c>
      <c r="C132" s="124"/>
      <c r="D132" s="125"/>
      <c r="E132" s="125"/>
      <c r="F132" s="6"/>
      <c r="G132" s="126" t="s">
        <v>10</v>
      </c>
      <c r="H132" s="126"/>
      <c r="I132" s="126"/>
      <c r="J132" s="126"/>
      <c r="K132" s="6"/>
      <c r="L132" s="38" t="s">
        <v>9</v>
      </c>
      <c r="M132" s="137"/>
      <c r="N132" s="138"/>
      <c r="O132" s="135"/>
      <c r="P132" s="135"/>
      <c r="Q132" s="121"/>
      <c r="R132" s="133"/>
      <c r="S132" s="123" t="s">
        <v>9</v>
      </c>
      <c r="T132" s="124"/>
      <c r="U132" s="125"/>
      <c r="V132" s="125"/>
      <c r="W132" s="6"/>
      <c r="X132" s="126" t="s">
        <v>10</v>
      </c>
      <c r="Y132" s="126"/>
      <c r="Z132" s="126"/>
      <c r="AA132" s="126"/>
      <c r="AB132" s="6"/>
      <c r="AC132" s="38" t="s">
        <v>9</v>
      </c>
      <c r="AD132" s="137"/>
      <c r="AE132" s="138"/>
      <c r="AF132" s="135"/>
      <c r="AG132" s="135"/>
      <c r="AH132" s="121"/>
    </row>
    <row r="133" spans="1:34" ht="14.25" customHeight="1">
      <c r="A133" s="128"/>
      <c r="B133" s="99" t="s">
        <v>11</v>
      </c>
      <c r="C133" s="100"/>
      <c r="D133" s="101"/>
      <c r="E133" s="101"/>
      <c r="F133" s="47"/>
      <c r="G133" s="102" t="s">
        <v>12</v>
      </c>
      <c r="H133" s="102"/>
      <c r="I133" s="102"/>
      <c r="J133" s="102"/>
      <c r="K133" s="47"/>
      <c r="L133" s="48" t="s">
        <v>11</v>
      </c>
      <c r="M133" s="103"/>
      <c r="N133" s="104"/>
      <c r="O133" s="136"/>
      <c r="P133" s="136"/>
      <c r="Q133" s="122"/>
      <c r="R133" s="133"/>
      <c r="S133" s="99" t="s">
        <v>11</v>
      </c>
      <c r="T133" s="100"/>
      <c r="U133" s="101"/>
      <c r="V133" s="101"/>
      <c r="W133" s="47"/>
      <c r="X133" s="102" t="s">
        <v>12</v>
      </c>
      <c r="Y133" s="102"/>
      <c r="Z133" s="102"/>
      <c r="AA133" s="102"/>
      <c r="AB133" s="47"/>
      <c r="AC133" s="48" t="s">
        <v>11</v>
      </c>
      <c r="AD133" s="103"/>
      <c r="AE133" s="104"/>
      <c r="AF133" s="136"/>
      <c r="AG133" s="136"/>
      <c r="AH133" s="122"/>
    </row>
    <row r="134" spans="1:34" ht="15.75" customHeight="1">
      <c r="A134" s="128"/>
      <c r="B134" s="40"/>
      <c r="C134" s="129" t="str">
        <f>IF(Sheet2!R20=FALSE,"AD","CLEAN")</f>
        <v>AD</v>
      </c>
      <c r="D134" s="129"/>
      <c r="E134" s="129"/>
      <c r="F134" s="41"/>
      <c r="G134" s="41"/>
      <c r="H134" s="130" t="str">
        <f>IF((Sheet2!N7=1),"CC"," ")</f>
        <v xml:space="preserve"> </v>
      </c>
      <c r="I134" s="130"/>
      <c r="J134" s="41"/>
      <c r="K134" s="42"/>
      <c r="L134" s="42"/>
      <c r="M134" s="131" t="str">
        <f>(Date!V20)</f>
        <v/>
      </c>
      <c r="N134" s="132"/>
      <c r="O134" s="134" t="str">
        <f>(Code!J20)</f>
        <v/>
      </c>
      <c r="P134" s="134"/>
      <c r="Q134" s="111" t="str">
        <f>IF(Sheet2!R20=FALSE,"AD","CLEAN")</f>
        <v>AD</v>
      </c>
      <c r="R134" s="133"/>
      <c r="S134" s="40"/>
      <c r="T134" s="129" t="str">
        <f>IF(Sheet2!R24=FALSE,"AD","CLEAN")</f>
        <v>AD</v>
      </c>
      <c r="U134" s="129"/>
      <c r="V134" s="129"/>
      <c r="W134" s="41"/>
      <c r="X134" s="41"/>
      <c r="Y134" s="130" t="str">
        <f>IF((Sheet2!AE7=1),"CC"," ")</f>
        <v xml:space="preserve"> </v>
      </c>
      <c r="Z134" s="130"/>
      <c r="AA134" s="41"/>
      <c r="AB134" s="42"/>
      <c r="AC134" s="42"/>
      <c r="AD134" s="131" t="str">
        <f>(Date!V24)</f>
        <v/>
      </c>
      <c r="AE134" s="132"/>
      <c r="AF134" s="134" t="str">
        <f>(Code!J24)</f>
        <v/>
      </c>
      <c r="AG134" s="134"/>
      <c r="AH134" s="111" t="str">
        <f>IF(Sheet2!R24=FALSE,"AD","CLEAN")</f>
        <v>AD</v>
      </c>
    </row>
    <row r="135" spans="1:34" ht="15" customHeight="1">
      <c r="A135" s="128"/>
      <c r="B135" s="43" t="s">
        <v>0</v>
      </c>
      <c r="C135" s="113" t="str">
        <f>(Code!J20)</f>
        <v/>
      </c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4"/>
      <c r="O135" s="135"/>
      <c r="P135" s="135"/>
      <c r="Q135" s="112"/>
      <c r="R135" s="133"/>
      <c r="S135" s="43" t="s">
        <v>0</v>
      </c>
      <c r="T135" s="113" t="str">
        <f>(Code!J24)</f>
        <v/>
      </c>
      <c r="U135" s="113"/>
      <c r="V135" s="113"/>
      <c r="W135" s="113"/>
      <c r="X135" s="113"/>
      <c r="Y135" s="113"/>
      <c r="Z135" s="113"/>
      <c r="AA135" s="113"/>
      <c r="AB135" s="113"/>
      <c r="AC135" s="113"/>
      <c r="AD135" s="113"/>
      <c r="AE135" s="114"/>
      <c r="AF135" s="135"/>
      <c r="AG135" s="135"/>
      <c r="AH135" s="112"/>
    </row>
    <row r="136" spans="1:34" ht="9.75" customHeight="1">
      <c r="A136" s="128"/>
      <c r="B136" s="44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4"/>
      <c r="O136" s="135"/>
      <c r="P136" s="135"/>
      <c r="Q136" s="112"/>
      <c r="R136" s="133"/>
      <c r="S136" s="44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113"/>
      <c r="AE136" s="114"/>
      <c r="AF136" s="135"/>
      <c r="AG136" s="135"/>
      <c r="AH136" s="112"/>
    </row>
    <row r="137" spans="1:34" ht="11.25" customHeight="1">
      <c r="A137" s="128"/>
      <c r="B137" s="44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4"/>
      <c r="O137" s="135"/>
      <c r="P137" s="135"/>
      <c r="Q137" s="112"/>
      <c r="R137" s="133"/>
      <c r="S137" s="44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113"/>
      <c r="AE137" s="114"/>
      <c r="AF137" s="135"/>
      <c r="AG137" s="135"/>
      <c r="AH137" s="112"/>
    </row>
    <row r="138" spans="1:34" ht="15" customHeight="1">
      <c r="A138" s="128"/>
      <c r="B138" s="45" t="s">
        <v>1</v>
      </c>
      <c r="C138" s="115" t="str">
        <f>(Code!V20)</f>
        <v/>
      </c>
      <c r="D138" s="115"/>
      <c r="E138" s="115"/>
      <c r="F138" s="115"/>
      <c r="G138" s="115"/>
      <c r="H138" s="115"/>
      <c r="I138" s="115"/>
      <c r="J138" s="115"/>
      <c r="K138" s="115"/>
      <c r="L138" s="115"/>
      <c r="M138" s="115"/>
      <c r="N138" s="116"/>
      <c r="O138" s="135"/>
      <c r="P138" s="135"/>
      <c r="Q138" s="3" t="str">
        <f>IF((Sheet2!N7=1),"CC"," ")</f>
        <v xml:space="preserve"> </v>
      </c>
      <c r="R138" s="133"/>
      <c r="S138" s="45" t="s">
        <v>1</v>
      </c>
      <c r="T138" s="115" t="str">
        <f>(Code!V24)</f>
        <v/>
      </c>
      <c r="U138" s="115"/>
      <c r="V138" s="115"/>
      <c r="W138" s="115"/>
      <c r="X138" s="115"/>
      <c r="Y138" s="115"/>
      <c r="Z138" s="115"/>
      <c r="AA138" s="115"/>
      <c r="AB138" s="115"/>
      <c r="AC138" s="115"/>
      <c r="AD138" s="115"/>
      <c r="AE138" s="116"/>
      <c r="AF138" s="135"/>
      <c r="AG138" s="135"/>
      <c r="AH138" s="37" t="str">
        <f>IF((Sheet2!AE7=1),"CC"," ")</f>
        <v xml:space="preserve"> </v>
      </c>
    </row>
    <row r="139" spans="1:34" ht="10.5" customHeight="1">
      <c r="A139" s="128"/>
      <c r="B139" s="44"/>
      <c r="C139" s="115"/>
      <c r="D139" s="115"/>
      <c r="E139" s="115"/>
      <c r="F139" s="115"/>
      <c r="G139" s="115"/>
      <c r="H139" s="115"/>
      <c r="I139" s="115"/>
      <c r="J139" s="115"/>
      <c r="K139" s="115"/>
      <c r="L139" s="115"/>
      <c r="M139" s="115"/>
      <c r="N139" s="116"/>
      <c r="O139" s="135"/>
      <c r="P139" s="135"/>
      <c r="Q139" s="117" t="s">
        <v>2</v>
      </c>
      <c r="R139" s="133"/>
      <c r="S139" s="44"/>
      <c r="T139" s="115"/>
      <c r="U139" s="115"/>
      <c r="V139" s="115"/>
      <c r="W139" s="115"/>
      <c r="X139" s="115"/>
      <c r="Y139" s="115"/>
      <c r="Z139" s="115"/>
      <c r="AA139" s="115"/>
      <c r="AB139" s="115"/>
      <c r="AC139" s="115"/>
      <c r="AD139" s="115"/>
      <c r="AE139" s="116"/>
      <c r="AF139" s="135"/>
      <c r="AG139" s="135"/>
      <c r="AH139" s="117" t="s">
        <v>2</v>
      </c>
    </row>
    <row r="140" spans="1:34" ht="12.75" customHeight="1">
      <c r="A140" s="128"/>
      <c r="B140" s="44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116"/>
      <c r="O140" s="135"/>
      <c r="P140" s="135"/>
      <c r="Q140" s="117"/>
      <c r="R140" s="133"/>
      <c r="S140" s="44"/>
      <c r="T140" s="115"/>
      <c r="U140" s="115"/>
      <c r="V140" s="115"/>
      <c r="W140" s="115"/>
      <c r="X140" s="115"/>
      <c r="Y140" s="115"/>
      <c r="Z140" s="115"/>
      <c r="AA140" s="115"/>
      <c r="AB140" s="115"/>
      <c r="AC140" s="115"/>
      <c r="AD140" s="115"/>
      <c r="AE140" s="116"/>
      <c r="AF140" s="135"/>
      <c r="AG140" s="135"/>
      <c r="AH140" s="117"/>
    </row>
    <row r="141" spans="1:34" ht="15.75" customHeight="1">
      <c r="A141" s="128"/>
      <c r="B141" s="45" t="s">
        <v>3</v>
      </c>
      <c r="C141" s="1"/>
      <c r="D141" s="2"/>
      <c r="E141" s="1"/>
      <c r="F141" s="1"/>
      <c r="G141" s="1"/>
      <c r="H141" s="1"/>
      <c r="I141" s="1"/>
      <c r="J141" s="1"/>
      <c r="K141" s="1"/>
      <c r="L141" s="1"/>
      <c r="M141" s="1"/>
      <c r="N141" s="46"/>
      <c r="O141" s="135"/>
      <c r="P141" s="135"/>
      <c r="Q141" s="117"/>
      <c r="R141" s="133"/>
      <c r="S141" s="45" t="s">
        <v>3</v>
      </c>
      <c r="T141" s="1"/>
      <c r="U141" s="2"/>
      <c r="V141" s="1"/>
      <c r="W141" s="1"/>
      <c r="X141" s="1"/>
      <c r="Y141" s="1"/>
      <c r="Z141" s="1"/>
      <c r="AA141" s="1"/>
      <c r="AB141" s="1"/>
      <c r="AC141" s="1"/>
      <c r="AD141" s="1"/>
      <c r="AE141" s="46"/>
      <c r="AF141" s="135"/>
      <c r="AG141" s="135"/>
      <c r="AH141" s="117"/>
    </row>
    <row r="142" spans="1:34" ht="20.25" customHeight="1">
      <c r="A142" s="128"/>
      <c r="B142" s="44"/>
      <c r="C142" s="39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46"/>
      <c r="O142" s="135"/>
      <c r="P142" s="135"/>
      <c r="Q142" s="26"/>
      <c r="R142" s="133"/>
      <c r="S142" s="44"/>
      <c r="T142" s="39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46"/>
      <c r="AF142" s="135"/>
      <c r="AG142" s="135"/>
      <c r="AH142" s="26"/>
    </row>
    <row r="143" spans="1:34" ht="15.75">
      <c r="A143" s="128"/>
      <c r="B143" s="118" t="s">
        <v>4</v>
      </c>
      <c r="C143" s="119"/>
      <c r="D143" s="119"/>
      <c r="E143" s="119"/>
      <c r="F143" s="4"/>
      <c r="G143" s="120" t="s">
        <v>5</v>
      </c>
      <c r="H143" s="120"/>
      <c r="I143" s="120"/>
      <c r="J143" s="120"/>
      <c r="K143" s="5"/>
      <c r="L143" s="5"/>
      <c r="M143" s="5"/>
      <c r="N143" s="46"/>
      <c r="O143" s="135"/>
      <c r="P143" s="135"/>
      <c r="Q143" s="121" t="str">
        <f>(Date!V20)</f>
        <v/>
      </c>
      <c r="R143" s="133"/>
      <c r="S143" s="118" t="s">
        <v>4</v>
      </c>
      <c r="T143" s="119"/>
      <c r="U143" s="119"/>
      <c r="V143" s="119"/>
      <c r="W143" s="4"/>
      <c r="X143" s="120" t="s">
        <v>5</v>
      </c>
      <c r="Y143" s="120"/>
      <c r="Z143" s="120"/>
      <c r="AA143" s="120"/>
      <c r="AB143" s="5"/>
      <c r="AC143" s="5"/>
      <c r="AD143" s="5"/>
      <c r="AE143" s="46"/>
      <c r="AF143" s="135"/>
      <c r="AG143" s="135"/>
      <c r="AH143" s="121" t="str">
        <f>(Date!V24)</f>
        <v/>
      </c>
    </row>
    <row r="144" spans="1:34" ht="15.75">
      <c r="A144" s="128"/>
      <c r="B144" s="123" t="s">
        <v>6</v>
      </c>
      <c r="C144" s="124"/>
      <c r="D144" s="125"/>
      <c r="E144" s="125"/>
      <c r="F144" s="6"/>
      <c r="G144" s="126" t="s">
        <v>7</v>
      </c>
      <c r="H144" s="126"/>
      <c r="I144" s="127" t="s">
        <v>8</v>
      </c>
      <c r="J144" s="127"/>
      <c r="K144" s="6"/>
      <c r="L144" s="38" t="s">
        <v>6</v>
      </c>
      <c r="M144" s="137"/>
      <c r="N144" s="138"/>
      <c r="O144" s="135"/>
      <c r="P144" s="135"/>
      <c r="Q144" s="121"/>
      <c r="R144" s="133"/>
      <c r="S144" s="123" t="s">
        <v>6</v>
      </c>
      <c r="T144" s="124"/>
      <c r="U144" s="125"/>
      <c r="V144" s="125"/>
      <c r="W144" s="6"/>
      <c r="X144" s="126" t="s">
        <v>7</v>
      </c>
      <c r="Y144" s="126"/>
      <c r="Z144" s="127" t="s">
        <v>8</v>
      </c>
      <c r="AA144" s="127"/>
      <c r="AB144" s="6"/>
      <c r="AC144" s="38" t="s">
        <v>6</v>
      </c>
      <c r="AD144" s="137"/>
      <c r="AE144" s="138"/>
      <c r="AF144" s="135"/>
      <c r="AG144" s="135"/>
      <c r="AH144" s="121"/>
    </row>
    <row r="145" spans="1:34" ht="15.75">
      <c r="A145" s="128"/>
      <c r="B145" s="123" t="s">
        <v>9</v>
      </c>
      <c r="C145" s="124"/>
      <c r="D145" s="125"/>
      <c r="E145" s="125"/>
      <c r="F145" s="6"/>
      <c r="G145" s="126" t="s">
        <v>10</v>
      </c>
      <c r="H145" s="126"/>
      <c r="I145" s="126"/>
      <c r="J145" s="126"/>
      <c r="K145" s="6"/>
      <c r="L145" s="38" t="s">
        <v>9</v>
      </c>
      <c r="M145" s="137"/>
      <c r="N145" s="138"/>
      <c r="O145" s="135"/>
      <c r="P145" s="135"/>
      <c r="Q145" s="121"/>
      <c r="R145" s="133"/>
      <c r="S145" s="123" t="s">
        <v>9</v>
      </c>
      <c r="T145" s="124"/>
      <c r="U145" s="125"/>
      <c r="V145" s="125"/>
      <c r="W145" s="6"/>
      <c r="X145" s="126" t="s">
        <v>10</v>
      </c>
      <c r="Y145" s="126"/>
      <c r="Z145" s="126"/>
      <c r="AA145" s="126"/>
      <c r="AB145" s="6"/>
      <c r="AC145" s="38" t="s">
        <v>9</v>
      </c>
      <c r="AD145" s="137"/>
      <c r="AE145" s="138"/>
      <c r="AF145" s="135"/>
      <c r="AG145" s="135"/>
      <c r="AH145" s="121"/>
    </row>
    <row r="146" spans="1:34" ht="14.25" customHeight="1">
      <c r="A146" s="128"/>
      <c r="B146" s="99" t="s">
        <v>11</v>
      </c>
      <c r="C146" s="100"/>
      <c r="D146" s="101"/>
      <c r="E146" s="101"/>
      <c r="F146" s="47"/>
      <c r="G146" s="102" t="s">
        <v>12</v>
      </c>
      <c r="H146" s="102"/>
      <c r="I146" s="102"/>
      <c r="J146" s="102"/>
      <c r="K146" s="47"/>
      <c r="L146" s="48" t="s">
        <v>11</v>
      </c>
      <c r="M146" s="103"/>
      <c r="N146" s="104"/>
      <c r="O146" s="136"/>
      <c r="P146" s="136"/>
      <c r="Q146" s="122"/>
      <c r="R146" s="133"/>
      <c r="S146" s="99" t="s">
        <v>11</v>
      </c>
      <c r="T146" s="100"/>
      <c r="U146" s="101"/>
      <c r="V146" s="101"/>
      <c r="W146" s="47"/>
      <c r="X146" s="102" t="s">
        <v>12</v>
      </c>
      <c r="Y146" s="102"/>
      <c r="Z146" s="102"/>
      <c r="AA146" s="102"/>
      <c r="AB146" s="47"/>
      <c r="AC146" s="48" t="s">
        <v>11</v>
      </c>
      <c r="AD146" s="103"/>
      <c r="AE146" s="104"/>
      <c r="AF146" s="136"/>
      <c r="AG146" s="136"/>
      <c r="AH146" s="122"/>
    </row>
    <row r="147" spans="1:34" ht="15.75" customHeight="1">
      <c r="A147" s="128"/>
      <c r="B147" s="40"/>
      <c r="C147" s="129" t="str">
        <f>IF(Sheet2!R21=FALSE,"AD","CLEAN")</f>
        <v>AD</v>
      </c>
      <c r="D147" s="129"/>
      <c r="E147" s="129"/>
      <c r="F147" s="41"/>
      <c r="G147" s="41"/>
      <c r="H147" s="130" t="str">
        <f>IF((Sheet2!N7=1),"CC"," ")</f>
        <v xml:space="preserve"> </v>
      </c>
      <c r="I147" s="130"/>
      <c r="J147" s="41"/>
      <c r="K147" s="42"/>
      <c r="L147" s="42"/>
      <c r="M147" s="131" t="str">
        <f>(Date!V21)</f>
        <v/>
      </c>
      <c r="N147" s="132"/>
      <c r="O147" s="105" t="str">
        <f>(Code!J21)</f>
        <v/>
      </c>
      <c r="P147" s="106"/>
      <c r="Q147" s="111" t="str">
        <f>IF(Sheet2!R21=FALSE,"AD","CLEAN")</f>
        <v>AD</v>
      </c>
      <c r="R147" s="133"/>
      <c r="S147" s="40"/>
      <c r="T147" s="129" t="str">
        <f>IF(Sheet2!R25=FALSE,"AD","CLEAN")</f>
        <v>AD</v>
      </c>
      <c r="U147" s="129"/>
      <c r="V147" s="129"/>
      <c r="W147" s="41"/>
      <c r="X147" s="41"/>
      <c r="Y147" s="130" t="str">
        <f>IF((Sheet2!AE7=1),"CC"," ")</f>
        <v xml:space="preserve"> </v>
      </c>
      <c r="Z147" s="130"/>
      <c r="AA147" s="41"/>
      <c r="AB147" s="42"/>
      <c r="AC147" s="42"/>
      <c r="AD147" s="131" t="str">
        <f>(Date!V25)</f>
        <v/>
      </c>
      <c r="AE147" s="132"/>
      <c r="AF147" s="105" t="str">
        <f>(Code!J25)</f>
        <v/>
      </c>
      <c r="AG147" s="106"/>
      <c r="AH147" s="111" t="str">
        <f>IF(Sheet2!R25=FALSE,"AD","CLEAN")</f>
        <v>AD</v>
      </c>
    </row>
    <row r="148" spans="1:34" ht="15" customHeight="1">
      <c r="A148" s="128"/>
      <c r="B148" s="43" t="s">
        <v>0</v>
      </c>
      <c r="C148" s="113" t="str">
        <f>(Code!J21)</f>
        <v/>
      </c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4"/>
      <c r="O148" s="107"/>
      <c r="P148" s="108"/>
      <c r="Q148" s="112"/>
      <c r="R148" s="133"/>
      <c r="S148" s="43" t="s">
        <v>0</v>
      </c>
      <c r="T148" s="113" t="str">
        <f>(Code!J25)</f>
        <v/>
      </c>
      <c r="U148" s="113"/>
      <c r="V148" s="113"/>
      <c r="W148" s="113"/>
      <c r="X148" s="113"/>
      <c r="Y148" s="113"/>
      <c r="Z148" s="113"/>
      <c r="AA148" s="113"/>
      <c r="AB148" s="113"/>
      <c r="AC148" s="113"/>
      <c r="AD148" s="113"/>
      <c r="AE148" s="114"/>
      <c r="AF148" s="107"/>
      <c r="AG148" s="108"/>
      <c r="AH148" s="112"/>
    </row>
    <row r="149" spans="1:34" ht="9.75" customHeight="1">
      <c r="A149" s="128"/>
      <c r="B149" s="44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4"/>
      <c r="O149" s="107"/>
      <c r="P149" s="108"/>
      <c r="Q149" s="112"/>
      <c r="R149" s="133"/>
      <c r="S149" s="44"/>
      <c r="T149" s="113"/>
      <c r="U149" s="113"/>
      <c r="V149" s="113"/>
      <c r="W149" s="113"/>
      <c r="X149" s="113"/>
      <c r="Y149" s="113"/>
      <c r="Z149" s="113"/>
      <c r="AA149" s="113"/>
      <c r="AB149" s="113"/>
      <c r="AC149" s="113"/>
      <c r="AD149" s="113"/>
      <c r="AE149" s="114"/>
      <c r="AF149" s="107"/>
      <c r="AG149" s="108"/>
      <c r="AH149" s="112"/>
    </row>
    <row r="150" spans="1:34" ht="11.25" customHeight="1">
      <c r="A150" s="128"/>
      <c r="B150" s="44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4"/>
      <c r="O150" s="107"/>
      <c r="P150" s="108"/>
      <c r="Q150" s="112"/>
      <c r="R150" s="133"/>
      <c r="S150" s="44"/>
      <c r="T150" s="113"/>
      <c r="U150" s="113"/>
      <c r="V150" s="113"/>
      <c r="W150" s="113"/>
      <c r="X150" s="113"/>
      <c r="Y150" s="113"/>
      <c r="Z150" s="113"/>
      <c r="AA150" s="113"/>
      <c r="AB150" s="113"/>
      <c r="AC150" s="113"/>
      <c r="AD150" s="113"/>
      <c r="AE150" s="114"/>
      <c r="AF150" s="107"/>
      <c r="AG150" s="108"/>
      <c r="AH150" s="112"/>
    </row>
    <row r="151" spans="1:34" ht="15" customHeight="1">
      <c r="A151" s="128"/>
      <c r="B151" s="45" t="s">
        <v>1</v>
      </c>
      <c r="C151" s="115" t="str">
        <f>(Code!V21)</f>
        <v/>
      </c>
      <c r="D151" s="115"/>
      <c r="E151" s="115"/>
      <c r="F151" s="115"/>
      <c r="G151" s="115"/>
      <c r="H151" s="115"/>
      <c r="I151" s="115"/>
      <c r="J151" s="115"/>
      <c r="K151" s="115"/>
      <c r="L151" s="115"/>
      <c r="M151" s="115"/>
      <c r="N151" s="116"/>
      <c r="O151" s="107"/>
      <c r="P151" s="108"/>
      <c r="Q151" s="3" t="str">
        <f>IF((Sheet2!N7=1),"CC"," ")</f>
        <v xml:space="preserve"> </v>
      </c>
      <c r="R151" s="133"/>
      <c r="S151" s="45" t="s">
        <v>1</v>
      </c>
      <c r="T151" s="115" t="str">
        <f>(Code!V25)</f>
        <v/>
      </c>
      <c r="U151" s="115"/>
      <c r="V151" s="115"/>
      <c r="W151" s="115"/>
      <c r="X151" s="115"/>
      <c r="Y151" s="115"/>
      <c r="Z151" s="115"/>
      <c r="AA151" s="115"/>
      <c r="AB151" s="115"/>
      <c r="AC151" s="115"/>
      <c r="AD151" s="115"/>
      <c r="AE151" s="116"/>
      <c r="AF151" s="107"/>
      <c r="AG151" s="108"/>
      <c r="AH151" s="37" t="str">
        <f>IF((Sheet2!AE7=1),"CC"," ")</f>
        <v xml:space="preserve"> </v>
      </c>
    </row>
    <row r="152" spans="1:34" ht="10.5" customHeight="1">
      <c r="A152" s="128"/>
      <c r="B152" s="44"/>
      <c r="C152" s="115"/>
      <c r="D152" s="115"/>
      <c r="E152" s="115"/>
      <c r="F152" s="115"/>
      <c r="G152" s="115"/>
      <c r="H152" s="115"/>
      <c r="I152" s="115"/>
      <c r="J152" s="115"/>
      <c r="K152" s="115"/>
      <c r="L152" s="115"/>
      <c r="M152" s="115"/>
      <c r="N152" s="116"/>
      <c r="O152" s="107"/>
      <c r="P152" s="108"/>
      <c r="Q152" s="117" t="s">
        <v>2</v>
      </c>
      <c r="R152" s="133"/>
      <c r="S152" s="44"/>
      <c r="T152" s="115"/>
      <c r="U152" s="115"/>
      <c r="V152" s="115"/>
      <c r="W152" s="115"/>
      <c r="X152" s="115"/>
      <c r="Y152" s="115"/>
      <c r="Z152" s="115"/>
      <c r="AA152" s="115"/>
      <c r="AB152" s="115"/>
      <c r="AC152" s="115"/>
      <c r="AD152" s="115"/>
      <c r="AE152" s="116"/>
      <c r="AF152" s="107"/>
      <c r="AG152" s="108"/>
      <c r="AH152" s="117" t="s">
        <v>2</v>
      </c>
    </row>
    <row r="153" spans="1:34" ht="12.75" customHeight="1">
      <c r="A153" s="128"/>
      <c r="B153" s="44"/>
      <c r="C153" s="115"/>
      <c r="D153" s="115"/>
      <c r="E153" s="115"/>
      <c r="F153" s="115"/>
      <c r="G153" s="115"/>
      <c r="H153" s="115"/>
      <c r="I153" s="115"/>
      <c r="J153" s="115"/>
      <c r="K153" s="115"/>
      <c r="L153" s="115"/>
      <c r="M153" s="115"/>
      <c r="N153" s="116"/>
      <c r="O153" s="107"/>
      <c r="P153" s="108"/>
      <c r="Q153" s="117"/>
      <c r="R153" s="133"/>
      <c r="S153" s="44"/>
      <c r="T153" s="115"/>
      <c r="U153" s="115"/>
      <c r="V153" s="115"/>
      <c r="W153" s="115"/>
      <c r="X153" s="115"/>
      <c r="Y153" s="115"/>
      <c r="Z153" s="115"/>
      <c r="AA153" s="115"/>
      <c r="AB153" s="115"/>
      <c r="AC153" s="115"/>
      <c r="AD153" s="115"/>
      <c r="AE153" s="116"/>
      <c r="AF153" s="107"/>
      <c r="AG153" s="108"/>
      <c r="AH153" s="117"/>
    </row>
    <row r="154" spans="1:34" ht="15.75" customHeight="1">
      <c r="A154" s="128"/>
      <c r="B154" s="45" t="s">
        <v>3</v>
      </c>
      <c r="C154" s="1"/>
      <c r="D154" s="2"/>
      <c r="E154" s="1"/>
      <c r="F154" s="1"/>
      <c r="G154" s="1"/>
      <c r="H154" s="1"/>
      <c r="I154" s="1"/>
      <c r="J154" s="1"/>
      <c r="K154" s="1"/>
      <c r="L154" s="1"/>
      <c r="M154" s="1"/>
      <c r="N154" s="46"/>
      <c r="O154" s="107"/>
      <c r="P154" s="108"/>
      <c r="Q154" s="117"/>
      <c r="R154" s="133"/>
      <c r="S154" s="45" t="s">
        <v>3</v>
      </c>
      <c r="T154" s="1"/>
      <c r="U154" s="2"/>
      <c r="V154" s="1"/>
      <c r="W154" s="1"/>
      <c r="X154" s="1"/>
      <c r="Y154" s="1"/>
      <c r="Z154" s="1"/>
      <c r="AA154" s="1"/>
      <c r="AB154" s="1"/>
      <c r="AC154" s="1"/>
      <c r="AD154" s="1"/>
      <c r="AE154" s="46"/>
      <c r="AF154" s="107"/>
      <c r="AG154" s="108"/>
      <c r="AH154" s="117"/>
    </row>
    <row r="155" spans="1:34" ht="26.25" customHeight="1">
      <c r="A155" s="128"/>
      <c r="B155" s="44"/>
      <c r="C155" s="39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46"/>
      <c r="O155" s="107"/>
      <c r="P155" s="108"/>
      <c r="Q155" s="26"/>
      <c r="R155" s="133"/>
      <c r="S155" s="44"/>
      <c r="T155" s="39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46"/>
      <c r="AF155" s="107"/>
      <c r="AG155" s="108"/>
      <c r="AH155" s="26"/>
    </row>
    <row r="156" spans="1:34" ht="15.75">
      <c r="A156" s="128"/>
      <c r="B156" s="118" t="s">
        <v>4</v>
      </c>
      <c r="C156" s="119"/>
      <c r="D156" s="119"/>
      <c r="E156" s="119"/>
      <c r="F156" s="4"/>
      <c r="G156" s="120" t="s">
        <v>5</v>
      </c>
      <c r="H156" s="120"/>
      <c r="I156" s="120"/>
      <c r="J156" s="120"/>
      <c r="K156" s="5"/>
      <c r="L156" s="5"/>
      <c r="M156" s="5"/>
      <c r="N156" s="46"/>
      <c r="O156" s="107"/>
      <c r="P156" s="108"/>
      <c r="Q156" s="121" t="str">
        <f>(Date!V21)</f>
        <v/>
      </c>
      <c r="R156" s="133"/>
      <c r="S156" s="118" t="s">
        <v>4</v>
      </c>
      <c r="T156" s="119"/>
      <c r="U156" s="119"/>
      <c r="V156" s="119"/>
      <c r="W156" s="4"/>
      <c r="X156" s="120" t="s">
        <v>5</v>
      </c>
      <c r="Y156" s="120"/>
      <c r="Z156" s="120"/>
      <c r="AA156" s="120"/>
      <c r="AB156" s="5"/>
      <c r="AC156" s="5"/>
      <c r="AD156" s="5"/>
      <c r="AE156" s="46"/>
      <c r="AF156" s="107"/>
      <c r="AG156" s="108"/>
      <c r="AH156" s="121" t="str">
        <f>(Date!V25)</f>
        <v/>
      </c>
    </row>
    <row r="157" spans="1:34" ht="15.75">
      <c r="A157" s="128"/>
      <c r="B157" s="123" t="s">
        <v>6</v>
      </c>
      <c r="C157" s="124"/>
      <c r="D157" s="125"/>
      <c r="E157" s="125"/>
      <c r="F157" s="6"/>
      <c r="G157" s="126" t="s">
        <v>7</v>
      </c>
      <c r="H157" s="126"/>
      <c r="I157" s="127" t="s">
        <v>8</v>
      </c>
      <c r="J157" s="127"/>
      <c r="K157" s="6"/>
      <c r="L157" s="38" t="s">
        <v>6</v>
      </c>
      <c r="M157" s="137"/>
      <c r="N157" s="138"/>
      <c r="O157" s="107"/>
      <c r="P157" s="108"/>
      <c r="Q157" s="121"/>
      <c r="R157" s="133"/>
      <c r="S157" s="123" t="s">
        <v>6</v>
      </c>
      <c r="T157" s="124"/>
      <c r="U157" s="125"/>
      <c r="V157" s="125"/>
      <c r="W157" s="6"/>
      <c r="X157" s="126" t="s">
        <v>7</v>
      </c>
      <c r="Y157" s="126"/>
      <c r="Z157" s="127" t="s">
        <v>8</v>
      </c>
      <c r="AA157" s="127"/>
      <c r="AB157" s="6"/>
      <c r="AC157" s="38" t="s">
        <v>6</v>
      </c>
      <c r="AD157" s="137"/>
      <c r="AE157" s="138"/>
      <c r="AF157" s="107"/>
      <c r="AG157" s="108"/>
      <c r="AH157" s="121"/>
    </row>
    <row r="158" spans="1:34" ht="15.75">
      <c r="A158" s="128"/>
      <c r="B158" s="123" t="s">
        <v>9</v>
      </c>
      <c r="C158" s="124"/>
      <c r="D158" s="125"/>
      <c r="E158" s="125"/>
      <c r="F158" s="6"/>
      <c r="G158" s="126" t="s">
        <v>10</v>
      </c>
      <c r="H158" s="126"/>
      <c r="I158" s="126"/>
      <c r="J158" s="126"/>
      <c r="K158" s="6"/>
      <c r="L158" s="38" t="s">
        <v>9</v>
      </c>
      <c r="M158" s="137"/>
      <c r="N158" s="138"/>
      <c r="O158" s="107"/>
      <c r="P158" s="108"/>
      <c r="Q158" s="121"/>
      <c r="R158" s="133"/>
      <c r="S158" s="123" t="s">
        <v>9</v>
      </c>
      <c r="T158" s="124"/>
      <c r="U158" s="125"/>
      <c r="V158" s="125"/>
      <c r="W158" s="6"/>
      <c r="X158" s="126" t="s">
        <v>10</v>
      </c>
      <c r="Y158" s="126"/>
      <c r="Z158" s="126"/>
      <c r="AA158" s="126"/>
      <c r="AB158" s="6"/>
      <c r="AC158" s="38" t="s">
        <v>9</v>
      </c>
      <c r="AD158" s="137"/>
      <c r="AE158" s="138"/>
      <c r="AF158" s="107"/>
      <c r="AG158" s="108"/>
      <c r="AH158" s="121"/>
    </row>
    <row r="159" spans="1:34" ht="14.25" customHeight="1">
      <c r="A159" s="128"/>
      <c r="B159" s="99" t="s">
        <v>11</v>
      </c>
      <c r="C159" s="100"/>
      <c r="D159" s="101"/>
      <c r="E159" s="101"/>
      <c r="F159" s="47"/>
      <c r="G159" s="102" t="s">
        <v>12</v>
      </c>
      <c r="H159" s="102"/>
      <c r="I159" s="102"/>
      <c r="J159" s="102"/>
      <c r="K159" s="47"/>
      <c r="L159" s="48" t="s">
        <v>11</v>
      </c>
      <c r="M159" s="103"/>
      <c r="N159" s="104"/>
      <c r="O159" s="109"/>
      <c r="P159" s="110"/>
      <c r="Q159" s="122"/>
      <c r="R159" s="133"/>
      <c r="S159" s="99" t="s">
        <v>11</v>
      </c>
      <c r="T159" s="100"/>
      <c r="U159" s="101"/>
      <c r="V159" s="101"/>
      <c r="W159" s="47"/>
      <c r="X159" s="102" t="s">
        <v>12</v>
      </c>
      <c r="Y159" s="102"/>
      <c r="Z159" s="102"/>
      <c r="AA159" s="102"/>
      <c r="AB159" s="47"/>
      <c r="AC159" s="48" t="s">
        <v>11</v>
      </c>
      <c r="AD159" s="103"/>
      <c r="AE159" s="104"/>
      <c r="AF159" s="109"/>
      <c r="AG159" s="110"/>
      <c r="AH159" s="122"/>
    </row>
  </sheetData>
  <mergeCells count="648">
    <mergeCell ref="AD65:AE65"/>
    <mergeCell ref="AD11:AE11"/>
    <mergeCell ref="AD12:AE12"/>
    <mergeCell ref="AD13:AE13"/>
    <mergeCell ref="AD24:AE24"/>
    <mergeCell ref="AD25:AE25"/>
    <mergeCell ref="AD26:AE26"/>
    <mergeCell ref="AD37:AE37"/>
    <mergeCell ref="AD38:AE38"/>
    <mergeCell ref="AD39:AE39"/>
    <mergeCell ref="AD14:AE14"/>
    <mergeCell ref="AD27:AE27"/>
    <mergeCell ref="AD40:AE40"/>
    <mergeCell ref="AD55:AE55"/>
    <mergeCell ref="AD119:AE119"/>
    <mergeCell ref="AD118:AE118"/>
    <mergeCell ref="AD106:AE106"/>
    <mergeCell ref="AD105:AE105"/>
    <mergeCell ref="AD104:AE104"/>
    <mergeCell ref="AD93:AE93"/>
    <mergeCell ref="AD92:AE92"/>
    <mergeCell ref="AD91:AE91"/>
    <mergeCell ref="AD67:AE67"/>
    <mergeCell ref="AD68:AE68"/>
    <mergeCell ref="AD81:AE81"/>
    <mergeCell ref="AD159:AE159"/>
    <mergeCell ref="AD146:AE146"/>
    <mergeCell ref="AD145:AE145"/>
    <mergeCell ref="AD144:AE144"/>
    <mergeCell ref="AD133:AE133"/>
    <mergeCell ref="AD132:AE132"/>
    <mergeCell ref="AD131:AE131"/>
    <mergeCell ref="AD147:AE147"/>
    <mergeCell ref="AD120:AE120"/>
    <mergeCell ref="AD121:AE121"/>
    <mergeCell ref="M131:N131"/>
    <mergeCell ref="M132:N132"/>
    <mergeCell ref="M133:N133"/>
    <mergeCell ref="M144:N144"/>
    <mergeCell ref="M145:N145"/>
    <mergeCell ref="M146:N146"/>
    <mergeCell ref="M157:N157"/>
    <mergeCell ref="M158:N158"/>
    <mergeCell ref="AD157:AE157"/>
    <mergeCell ref="AD158:AE158"/>
    <mergeCell ref="X144:Y144"/>
    <mergeCell ref="Z144:AA144"/>
    <mergeCell ref="Y147:Z147"/>
    <mergeCell ref="X158:Y158"/>
    <mergeCell ref="Z158:AA158"/>
    <mergeCell ref="M79:N79"/>
    <mergeCell ref="M80:N80"/>
    <mergeCell ref="M104:N104"/>
    <mergeCell ref="M105:N105"/>
    <mergeCell ref="M106:N106"/>
    <mergeCell ref="M91:N91"/>
    <mergeCell ref="M92:N92"/>
    <mergeCell ref="M93:N93"/>
    <mergeCell ref="M120:N120"/>
    <mergeCell ref="M39:N39"/>
    <mergeCell ref="M50:N50"/>
    <mergeCell ref="M51:N51"/>
    <mergeCell ref="M52:N52"/>
    <mergeCell ref="M40:N40"/>
    <mergeCell ref="M65:N65"/>
    <mergeCell ref="M66:N66"/>
    <mergeCell ref="M67:N67"/>
    <mergeCell ref="M78:N78"/>
    <mergeCell ref="G10:J10"/>
    <mergeCell ref="M11:N11"/>
    <mergeCell ref="M12:N12"/>
    <mergeCell ref="M13:N13"/>
    <mergeCell ref="M24:N24"/>
    <mergeCell ref="M25:N25"/>
    <mergeCell ref="M26:N26"/>
    <mergeCell ref="M37:N37"/>
    <mergeCell ref="M38:N38"/>
    <mergeCell ref="B36:E36"/>
    <mergeCell ref="G36:J36"/>
    <mergeCell ref="B25:C25"/>
    <mergeCell ref="D25:E25"/>
    <mergeCell ref="G25:H25"/>
    <mergeCell ref="I25:J25"/>
    <mergeCell ref="B26:C26"/>
    <mergeCell ref="D26:E26"/>
    <mergeCell ref="G26:H26"/>
    <mergeCell ref="I26:J26"/>
    <mergeCell ref="C28:N30"/>
    <mergeCell ref="D39:E39"/>
    <mergeCell ref="G39:H39"/>
    <mergeCell ref="I39:J39"/>
    <mergeCell ref="C40:E40"/>
    <mergeCell ref="H40:I40"/>
    <mergeCell ref="B37:C37"/>
    <mergeCell ref="D37:E37"/>
    <mergeCell ref="G37:H37"/>
    <mergeCell ref="I37:J37"/>
    <mergeCell ref="B38:C38"/>
    <mergeCell ref="D38:E38"/>
    <mergeCell ref="G38:H38"/>
    <mergeCell ref="I38:J38"/>
    <mergeCell ref="H55:I55"/>
    <mergeCell ref="B64:E64"/>
    <mergeCell ref="G64:J64"/>
    <mergeCell ref="A1:A13"/>
    <mergeCell ref="A14:A26"/>
    <mergeCell ref="A27:A39"/>
    <mergeCell ref="A40:A52"/>
    <mergeCell ref="A55:A67"/>
    <mergeCell ref="B51:C51"/>
    <mergeCell ref="D51:E51"/>
    <mergeCell ref="G51:H51"/>
    <mergeCell ref="I51:J51"/>
    <mergeCell ref="B52:C52"/>
    <mergeCell ref="D52:E52"/>
    <mergeCell ref="G52:H52"/>
    <mergeCell ref="I52:J52"/>
    <mergeCell ref="B49:E49"/>
    <mergeCell ref="G49:J49"/>
    <mergeCell ref="B50:C50"/>
    <mergeCell ref="D50:E50"/>
    <mergeCell ref="G50:H50"/>
    <mergeCell ref="I50:J50"/>
    <mergeCell ref="C41:N43"/>
    <mergeCell ref="C44:N46"/>
    <mergeCell ref="D105:E105"/>
    <mergeCell ref="A68:A80"/>
    <mergeCell ref="C68:E68"/>
    <mergeCell ref="H68:I68"/>
    <mergeCell ref="B77:E77"/>
    <mergeCell ref="G77:J77"/>
    <mergeCell ref="B78:C78"/>
    <mergeCell ref="G80:H80"/>
    <mergeCell ref="I80:J80"/>
    <mergeCell ref="G78:H78"/>
    <mergeCell ref="I78:J78"/>
    <mergeCell ref="B79:C79"/>
    <mergeCell ref="D79:E79"/>
    <mergeCell ref="G79:H79"/>
    <mergeCell ref="I79:J79"/>
    <mergeCell ref="G105:H105"/>
    <mergeCell ref="I105:J105"/>
    <mergeCell ref="C95:N97"/>
    <mergeCell ref="C98:N100"/>
    <mergeCell ref="A81:A93"/>
    <mergeCell ref="I93:J93"/>
    <mergeCell ref="M81:N81"/>
    <mergeCell ref="B80:C80"/>
    <mergeCell ref="D80:E80"/>
    <mergeCell ref="O81:P93"/>
    <mergeCell ref="C82:N84"/>
    <mergeCell ref="C85:N87"/>
    <mergeCell ref="B90:E90"/>
    <mergeCell ref="G90:J90"/>
    <mergeCell ref="B91:C91"/>
    <mergeCell ref="M94:N94"/>
    <mergeCell ref="O94:P106"/>
    <mergeCell ref="A94:A106"/>
    <mergeCell ref="C94:E94"/>
    <mergeCell ref="H94:I94"/>
    <mergeCell ref="B103:E103"/>
    <mergeCell ref="G103:J103"/>
    <mergeCell ref="B104:C104"/>
    <mergeCell ref="D91:E91"/>
    <mergeCell ref="G91:H91"/>
    <mergeCell ref="I91:J91"/>
    <mergeCell ref="B92:C92"/>
    <mergeCell ref="D92:E92"/>
    <mergeCell ref="G92:H92"/>
    <mergeCell ref="I92:J92"/>
    <mergeCell ref="G104:H104"/>
    <mergeCell ref="I104:J104"/>
    <mergeCell ref="B105:C105"/>
    <mergeCell ref="O40:P52"/>
    <mergeCell ref="Q45:Q47"/>
    <mergeCell ref="Q6:Q8"/>
    <mergeCell ref="Q10:Q13"/>
    <mergeCell ref="Q49:Q52"/>
    <mergeCell ref="Q40:Q43"/>
    <mergeCell ref="Q1:Q4"/>
    <mergeCell ref="C81:E81"/>
    <mergeCell ref="H81:I81"/>
    <mergeCell ref="D78:E78"/>
    <mergeCell ref="Q68:Q71"/>
    <mergeCell ref="B67:C67"/>
    <mergeCell ref="D67:E67"/>
    <mergeCell ref="G67:H67"/>
    <mergeCell ref="I67:J67"/>
    <mergeCell ref="B65:C65"/>
    <mergeCell ref="D65:E65"/>
    <mergeCell ref="G65:H65"/>
    <mergeCell ref="I65:J65"/>
    <mergeCell ref="B66:C66"/>
    <mergeCell ref="D66:E66"/>
    <mergeCell ref="G66:H66"/>
    <mergeCell ref="I66:J66"/>
    <mergeCell ref="C55:E55"/>
    <mergeCell ref="Q99:Q101"/>
    <mergeCell ref="Q103:Q106"/>
    <mergeCell ref="C56:N58"/>
    <mergeCell ref="C59:N61"/>
    <mergeCell ref="Q60:Q62"/>
    <mergeCell ref="Q64:Q67"/>
    <mergeCell ref="M68:N68"/>
    <mergeCell ref="O68:P80"/>
    <mergeCell ref="C69:N71"/>
    <mergeCell ref="C72:N74"/>
    <mergeCell ref="Q73:Q75"/>
    <mergeCell ref="Q77:Q80"/>
    <mergeCell ref="Q55:Q58"/>
    <mergeCell ref="M55:N55"/>
    <mergeCell ref="O55:P67"/>
    <mergeCell ref="B106:C106"/>
    <mergeCell ref="D106:E106"/>
    <mergeCell ref="G106:H106"/>
    <mergeCell ref="I106:J106"/>
    <mergeCell ref="D104:E104"/>
    <mergeCell ref="Q94:Q97"/>
    <mergeCell ref="B93:C93"/>
    <mergeCell ref="D93:E93"/>
    <mergeCell ref="G93:H93"/>
    <mergeCell ref="Q86:Q88"/>
    <mergeCell ref="Q90:Q93"/>
    <mergeCell ref="Q81:Q84"/>
    <mergeCell ref="AH10:AH13"/>
    <mergeCell ref="S11:T11"/>
    <mergeCell ref="U11:V11"/>
    <mergeCell ref="X11:Y11"/>
    <mergeCell ref="Z11:AA11"/>
    <mergeCell ref="S12:T12"/>
    <mergeCell ref="U12:V12"/>
    <mergeCell ref="X12:Y12"/>
    <mergeCell ref="Z12:AA12"/>
    <mergeCell ref="S13:T13"/>
    <mergeCell ref="U13:V13"/>
    <mergeCell ref="X13:Y13"/>
    <mergeCell ref="Z13:AA13"/>
    <mergeCell ref="R14:R26"/>
    <mergeCell ref="Q27:Q30"/>
    <mergeCell ref="Q19:Q21"/>
    <mergeCell ref="Q23:Q26"/>
    <mergeCell ref="Q32:Q34"/>
    <mergeCell ref="Q36:Q39"/>
    <mergeCell ref="Q14:Q17"/>
    <mergeCell ref="AD66:AE66"/>
    <mergeCell ref="C5:N7"/>
    <mergeCell ref="C31:N33"/>
    <mergeCell ref="AD1:AE1"/>
    <mergeCell ref="AF1:AG13"/>
    <mergeCell ref="AH1:AH4"/>
    <mergeCell ref="T2:AE4"/>
    <mergeCell ref="T5:AE7"/>
    <mergeCell ref="AH6:AH8"/>
    <mergeCell ref="S10:V10"/>
    <mergeCell ref="C27:E27"/>
    <mergeCell ref="H27:I27"/>
    <mergeCell ref="O14:P26"/>
    <mergeCell ref="O27:P39"/>
    <mergeCell ref="B23:E23"/>
    <mergeCell ref="G23:J23"/>
    <mergeCell ref="B24:C24"/>
    <mergeCell ref="D24:E24"/>
    <mergeCell ref="G24:H24"/>
    <mergeCell ref="I24:J24"/>
    <mergeCell ref="B13:C13"/>
    <mergeCell ref="D13:E13"/>
    <mergeCell ref="G13:H13"/>
    <mergeCell ref="R1:R13"/>
    <mergeCell ref="B39:C39"/>
    <mergeCell ref="T1:V1"/>
    <mergeCell ref="Y1:Z1"/>
    <mergeCell ref="X10:AA10"/>
    <mergeCell ref="M1:N1"/>
    <mergeCell ref="M14:N14"/>
    <mergeCell ref="C15:N17"/>
    <mergeCell ref="C18:N20"/>
    <mergeCell ref="M27:N27"/>
    <mergeCell ref="I13:J13"/>
    <mergeCell ref="C14:E14"/>
    <mergeCell ref="H14:I14"/>
    <mergeCell ref="O1:P13"/>
    <mergeCell ref="B11:C11"/>
    <mergeCell ref="D11:E11"/>
    <mergeCell ref="G11:H11"/>
    <mergeCell ref="I11:J11"/>
    <mergeCell ref="B12:C12"/>
    <mergeCell ref="D12:E12"/>
    <mergeCell ref="G12:H12"/>
    <mergeCell ref="I12:J12"/>
    <mergeCell ref="C1:E1"/>
    <mergeCell ref="H1:I1"/>
    <mergeCell ref="B10:E10"/>
    <mergeCell ref="C2:N4"/>
    <mergeCell ref="AF14:AG26"/>
    <mergeCell ref="AH14:AH17"/>
    <mergeCell ref="T15:AE17"/>
    <mergeCell ref="T18:AE20"/>
    <mergeCell ref="AH19:AH21"/>
    <mergeCell ref="S23:V23"/>
    <mergeCell ref="X23:AA23"/>
    <mergeCell ref="AH23:AH26"/>
    <mergeCell ref="S24:T24"/>
    <mergeCell ref="T14:V14"/>
    <mergeCell ref="Y14:Z14"/>
    <mergeCell ref="U24:V24"/>
    <mergeCell ref="X24:Y24"/>
    <mergeCell ref="Z24:AA24"/>
    <mergeCell ref="AF27:AG39"/>
    <mergeCell ref="AH27:AH30"/>
    <mergeCell ref="T28:AE30"/>
    <mergeCell ref="T31:AE33"/>
    <mergeCell ref="AH32:AH34"/>
    <mergeCell ref="S36:V36"/>
    <mergeCell ref="S25:T25"/>
    <mergeCell ref="U25:V25"/>
    <mergeCell ref="X25:Y25"/>
    <mergeCell ref="Z25:AA25"/>
    <mergeCell ref="S26:T26"/>
    <mergeCell ref="U26:V26"/>
    <mergeCell ref="X26:Y26"/>
    <mergeCell ref="Z26:AA26"/>
    <mergeCell ref="X36:AA36"/>
    <mergeCell ref="AH36:AH39"/>
    <mergeCell ref="S37:T37"/>
    <mergeCell ref="U37:V37"/>
    <mergeCell ref="X37:Y37"/>
    <mergeCell ref="Z37:AA37"/>
    <mergeCell ref="S38:T38"/>
    <mergeCell ref="U38:V38"/>
    <mergeCell ref="X38:Y38"/>
    <mergeCell ref="Z38:AA38"/>
    <mergeCell ref="S39:T39"/>
    <mergeCell ref="U39:V39"/>
    <mergeCell ref="X39:Y39"/>
    <mergeCell ref="Z39:AA39"/>
    <mergeCell ref="R40:R52"/>
    <mergeCell ref="T40:V40"/>
    <mergeCell ref="Y40:Z40"/>
    <mergeCell ref="U50:V50"/>
    <mergeCell ref="X50:Y50"/>
    <mergeCell ref="Z50:AA50"/>
    <mergeCell ref="R27:R39"/>
    <mergeCell ref="T27:V27"/>
    <mergeCell ref="Y27:Z27"/>
    <mergeCell ref="AF40:AG52"/>
    <mergeCell ref="AH40:AH43"/>
    <mergeCell ref="T41:AE43"/>
    <mergeCell ref="T44:AE46"/>
    <mergeCell ref="AH45:AH47"/>
    <mergeCell ref="S49:V49"/>
    <mergeCell ref="X49:AA49"/>
    <mergeCell ref="AH49:AH52"/>
    <mergeCell ref="S50:T50"/>
    <mergeCell ref="AD52:AE52"/>
    <mergeCell ref="AD51:AE51"/>
    <mergeCell ref="AD50:AE50"/>
    <mergeCell ref="AF55:AG67"/>
    <mergeCell ref="AH55:AH58"/>
    <mergeCell ref="T56:AE58"/>
    <mergeCell ref="T59:AE61"/>
    <mergeCell ref="AH60:AH62"/>
    <mergeCell ref="S64:V64"/>
    <mergeCell ref="S51:T51"/>
    <mergeCell ref="U51:V51"/>
    <mergeCell ref="X51:Y51"/>
    <mergeCell ref="Z51:AA51"/>
    <mergeCell ref="S52:T52"/>
    <mergeCell ref="U52:V52"/>
    <mergeCell ref="X52:Y52"/>
    <mergeCell ref="Z52:AA52"/>
    <mergeCell ref="X64:AA64"/>
    <mergeCell ref="AH64:AH67"/>
    <mergeCell ref="S65:T65"/>
    <mergeCell ref="U65:V65"/>
    <mergeCell ref="X65:Y65"/>
    <mergeCell ref="Z65:AA65"/>
    <mergeCell ref="S66:T66"/>
    <mergeCell ref="U66:V66"/>
    <mergeCell ref="X66:Y66"/>
    <mergeCell ref="Z66:AA66"/>
    <mergeCell ref="S67:T67"/>
    <mergeCell ref="U67:V67"/>
    <mergeCell ref="X67:Y67"/>
    <mergeCell ref="Z67:AA67"/>
    <mergeCell ref="R68:R80"/>
    <mergeCell ref="T68:V68"/>
    <mergeCell ref="Y68:Z68"/>
    <mergeCell ref="U78:V78"/>
    <mergeCell ref="X78:Y78"/>
    <mergeCell ref="Z78:AA78"/>
    <mergeCell ref="R55:R67"/>
    <mergeCell ref="T55:V55"/>
    <mergeCell ref="Y55:Z55"/>
    <mergeCell ref="AF68:AG80"/>
    <mergeCell ref="AH68:AH71"/>
    <mergeCell ref="T69:AE71"/>
    <mergeCell ref="T72:AE74"/>
    <mergeCell ref="AH73:AH75"/>
    <mergeCell ref="S77:V77"/>
    <mergeCell ref="X77:AA77"/>
    <mergeCell ref="AH77:AH80"/>
    <mergeCell ref="S78:T78"/>
    <mergeCell ref="AD80:AE80"/>
    <mergeCell ref="AD79:AE79"/>
    <mergeCell ref="AD78:AE78"/>
    <mergeCell ref="AF81:AG93"/>
    <mergeCell ref="AH81:AH84"/>
    <mergeCell ref="T82:AE84"/>
    <mergeCell ref="T85:AE87"/>
    <mergeCell ref="AH86:AH88"/>
    <mergeCell ref="S90:V90"/>
    <mergeCell ref="S79:T79"/>
    <mergeCell ref="U79:V79"/>
    <mergeCell ref="X79:Y79"/>
    <mergeCell ref="Z79:AA79"/>
    <mergeCell ref="S80:T80"/>
    <mergeCell ref="U80:V80"/>
    <mergeCell ref="X80:Y80"/>
    <mergeCell ref="Z80:AA80"/>
    <mergeCell ref="X90:AA90"/>
    <mergeCell ref="AH90:AH93"/>
    <mergeCell ref="S91:T91"/>
    <mergeCell ref="U91:V91"/>
    <mergeCell ref="X91:Y91"/>
    <mergeCell ref="Z91:AA91"/>
    <mergeCell ref="S92:T92"/>
    <mergeCell ref="U92:V92"/>
    <mergeCell ref="X92:Y92"/>
    <mergeCell ref="Z92:AA92"/>
    <mergeCell ref="S93:T93"/>
    <mergeCell ref="U93:V93"/>
    <mergeCell ref="X93:Y93"/>
    <mergeCell ref="Z93:AA93"/>
    <mergeCell ref="R94:R106"/>
    <mergeCell ref="T94:V94"/>
    <mergeCell ref="Y94:Z94"/>
    <mergeCell ref="U104:V104"/>
    <mergeCell ref="X104:Y104"/>
    <mergeCell ref="Z104:AA104"/>
    <mergeCell ref="R81:R93"/>
    <mergeCell ref="T81:V81"/>
    <mergeCell ref="Y81:Z81"/>
    <mergeCell ref="AF94:AG106"/>
    <mergeCell ref="AH94:AH97"/>
    <mergeCell ref="T95:AE97"/>
    <mergeCell ref="T98:AE100"/>
    <mergeCell ref="AH99:AH101"/>
    <mergeCell ref="S103:V103"/>
    <mergeCell ref="X103:AA103"/>
    <mergeCell ref="AH103:AH106"/>
    <mergeCell ref="S104:T104"/>
    <mergeCell ref="S105:T105"/>
    <mergeCell ref="U105:V105"/>
    <mergeCell ref="X105:Y105"/>
    <mergeCell ref="Z105:AA105"/>
    <mergeCell ref="S106:T106"/>
    <mergeCell ref="U106:V106"/>
    <mergeCell ref="X106:Y106"/>
    <mergeCell ref="Z106:AA106"/>
    <mergeCell ref="AD94:AE94"/>
    <mergeCell ref="G117:J117"/>
    <mergeCell ref="Q117:Q120"/>
    <mergeCell ref="S117:V117"/>
    <mergeCell ref="X117:AA117"/>
    <mergeCell ref="AH117:AH120"/>
    <mergeCell ref="B118:C118"/>
    <mergeCell ref="D118:E118"/>
    <mergeCell ref="G118:H118"/>
    <mergeCell ref="I118:J118"/>
    <mergeCell ref="S118:T118"/>
    <mergeCell ref="R108:R120"/>
    <mergeCell ref="T108:V108"/>
    <mergeCell ref="Y108:Z108"/>
    <mergeCell ref="AD108:AE108"/>
    <mergeCell ref="AF108:AG120"/>
    <mergeCell ref="AH108:AH111"/>
    <mergeCell ref="T109:AE111"/>
    <mergeCell ref="T112:AE114"/>
    <mergeCell ref="AH113:AH115"/>
    <mergeCell ref="U118:V118"/>
    <mergeCell ref="C108:E108"/>
    <mergeCell ref="H108:I108"/>
    <mergeCell ref="M108:N108"/>
    <mergeCell ref="O108:P120"/>
    <mergeCell ref="X118:Y118"/>
    <mergeCell ref="Z118:AA118"/>
    <mergeCell ref="B119:C119"/>
    <mergeCell ref="D119:E119"/>
    <mergeCell ref="G119:H119"/>
    <mergeCell ref="I119:J119"/>
    <mergeCell ref="S119:T119"/>
    <mergeCell ref="U119:V119"/>
    <mergeCell ref="X119:Y119"/>
    <mergeCell ref="Z119:AA119"/>
    <mergeCell ref="M118:N118"/>
    <mergeCell ref="M119:N119"/>
    <mergeCell ref="X120:Y120"/>
    <mergeCell ref="Z120:AA120"/>
    <mergeCell ref="A121:A133"/>
    <mergeCell ref="C121:E121"/>
    <mergeCell ref="H121:I121"/>
    <mergeCell ref="M121:N121"/>
    <mergeCell ref="O121:P133"/>
    <mergeCell ref="Q121:Q124"/>
    <mergeCell ref="R121:R133"/>
    <mergeCell ref="T121:V121"/>
    <mergeCell ref="B120:C120"/>
    <mergeCell ref="D120:E120"/>
    <mergeCell ref="G120:H120"/>
    <mergeCell ref="I120:J120"/>
    <mergeCell ref="S120:T120"/>
    <mergeCell ref="U120:V120"/>
    <mergeCell ref="A108:A120"/>
    <mergeCell ref="Q108:Q111"/>
    <mergeCell ref="C109:N111"/>
    <mergeCell ref="C112:N114"/>
    <mergeCell ref="Q113:Q115"/>
    <mergeCell ref="B117:E117"/>
    <mergeCell ref="Y121:Z121"/>
    <mergeCell ref="D132:E132"/>
    <mergeCell ref="AF121:AG133"/>
    <mergeCell ref="AH121:AH124"/>
    <mergeCell ref="C122:N124"/>
    <mergeCell ref="T122:AE124"/>
    <mergeCell ref="C125:N127"/>
    <mergeCell ref="T125:AE127"/>
    <mergeCell ref="Q126:Q128"/>
    <mergeCell ref="AH126:AH128"/>
    <mergeCell ref="B130:E130"/>
    <mergeCell ref="G130:J130"/>
    <mergeCell ref="Q130:Q133"/>
    <mergeCell ref="S130:V130"/>
    <mergeCell ref="X130:AA130"/>
    <mergeCell ref="AH130:AH133"/>
    <mergeCell ref="B131:C131"/>
    <mergeCell ref="D131:E131"/>
    <mergeCell ref="G131:H131"/>
    <mergeCell ref="I131:J131"/>
    <mergeCell ref="S131:T131"/>
    <mergeCell ref="U131:V131"/>
    <mergeCell ref="X131:Y131"/>
    <mergeCell ref="Z131:AA131"/>
    <mergeCell ref="B132:C132"/>
    <mergeCell ref="G132:H132"/>
    <mergeCell ref="I132:J132"/>
    <mergeCell ref="S132:T132"/>
    <mergeCell ref="U132:V132"/>
    <mergeCell ref="X132:Y132"/>
    <mergeCell ref="Z132:AA132"/>
    <mergeCell ref="B133:C133"/>
    <mergeCell ref="D133:E133"/>
    <mergeCell ref="G133:H133"/>
    <mergeCell ref="I133:J133"/>
    <mergeCell ref="S133:T133"/>
    <mergeCell ref="U133:V133"/>
    <mergeCell ref="X133:Y133"/>
    <mergeCell ref="Z133:AA133"/>
    <mergeCell ref="G143:J143"/>
    <mergeCell ref="Q143:Q146"/>
    <mergeCell ref="S143:V143"/>
    <mergeCell ref="X143:AA143"/>
    <mergeCell ref="AH143:AH146"/>
    <mergeCell ref="B144:C144"/>
    <mergeCell ref="D144:E144"/>
    <mergeCell ref="G144:H144"/>
    <mergeCell ref="I144:J144"/>
    <mergeCell ref="S144:T144"/>
    <mergeCell ref="R134:R146"/>
    <mergeCell ref="T134:V134"/>
    <mergeCell ref="Y134:Z134"/>
    <mergeCell ref="AD134:AE134"/>
    <mergeCell ref="AF134:AG146"/>
    <mergeCell ref="AH134:AH137"/>
    <mergeCell ref="T135:AE137"/>
    <mergeCell ref="T138:AE140"/>
    <mergeCell ref="AH139:AH141"/>
    <mergeCell ref="U144:V144"/>
    <mergeCell ref="C134:E134"/>
    <mergeCell ref="H134:I134"/>
    <mergeCell ref="M134:N134"/>
    <mergeCell ref="O134:P146"/>
    <mergeCell ref="B145:C145"/>
    <mergeCell ref="D145:E145"/>
    <mergeCell ref="G145:H145"/>
    <mergeCell ref="I145:J145"/>
    <mergeCell ref="S145:T145"/>
    <mergeCell ref="U145:V145"/>
    <mergeCell ref="X145:Y145"/>
    <mergeCell ref="Z145:AA145"/>
    <mergeCell ref="X146:Y146"/>
    <mergeCell ref="Z146:AA146"/>
    <mergeCell ref="A147:A159"/>
    <mergeCell ref="C147:E147"/>
    <mergeCell ref="H147:I147"/>
    <mergeCell ref="M147:N147"/>
    <mergeCell ref="O147:P159"/>
    <mergeCell ref="Q147:Q150"/>
    <mergeCell ref="R147:R159"/>
    <mergeCell ref="T147:V147"/>
    <mergeCell ref="B146:C146"/>
    <mergeCell ref="D146:E146"/>
    <mergeCell ref="G146:H146"/>
    <mergeCell ref="I146:J146"/>
    <mergeCell ref="S146:T146"/>
    <mergeCell ref="U146:V146"/>
    <mergeCell ref="A134:A146"/>
    <mergeCell ref="Q134:Q137"/>
    <mergeCell ref="C135:N137"/>
    <mergeCell ref="C138:N140"/>
    <mergeCell ref="Q139:Q141"/>
    <mergeCell ref="B143:E143"/>
    <mergeCell ref="D158:E158"/>
    <mergeCell ref="I158:J158"/>
    <mergeCell ref="S158:T158"/>
    <mergeCell ref="U158:V158"/>
    <mergeCell ref="AF147:AG159"/>
    <mergeCell ref="AH147:AH150"/>
    <mergeCell ref="C148:N150"/>
    <mergeCell ref="T148:AE150"/>
    <mergeCell ref="C151:N153"/>
    <mergeCell ref="T151:AE153"/>
    <mergeCell ref="Q152:Q154"/>
    <mergeCell ref="AH152:AH154"/>
    <mergeCell ref="B156:E156"/>
    <mergeCell ref="G156:J156"/>
    <mergeCell ref="Q156:Q159"/>
    <mergeCell ref="S156:V156"/>
    <mergeCell ref="X156:AA156"/>
    <mergeCell ref="AH156:AH159"/>
    <mergeCell ref="B157:C157"/>
    <mergeCell ref="D157:E157"/>
    <mergeCell ref="G157:H157"/>
    <mergeCell ref="I157:J157"/>
    <mergeCell ref="S157:T157"/>
    <mergeCell ref="U157:V157"/>
    <mergeCell ref="X157:Y157"/>
    <mergeCell ref="Z157:AA157"/>
    <mergeCell ref="B158:C158"/>
    <mergeCell ref="G158:H158"/>
    <mergeCell ref="B159:C159"/>
    <mergeCell ref="D159:E159"/>
    <mergeCell ref="G159:H159"/>
    <mergeCell ref="I159:J159"/>
    <mergeCell ref="S159:T159"/>
    <mergeCell ref="U159:V159"/>
    <mergeCell ref="X159:Y159"/>
    <mergeCell ref="Z159:AA159"/>
    <mergeCell ref="M159:N159"/>
  </mergeCells>
  <pageMargins left="0.20833333333333334" right="0.78125" top="9.375E-2" bottom="0.10416666666666667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V39"/>
  <sheetViews>
    <sheetView tabSelected="1" view="pageLayout" workbookViewId="0">
      <selection sqref="A1:S39"/>
    </sheetView>
  </sheetViews>
  <sheetFormatPr defaultRowHeight="14.25"/>
  <cols>
    <col min="1" max="1" width="5.5703125" style="53" customWidth="1"/>
    <col min="2" max="2" width="5.42578125" style="53" customWidth="1"/>
    <col min="3" max="5" width="5" style="53" customWidth="1"/>
    <col min="6" max="6" width="5.42578125" style="53" customWidth="1"/>
    <col min="7" max="7" width="3.140625" style="53" customWidth="1"/>
    <col min="8" max="8" width="5.42578125" style="53" customWidth="1"/>
    <col min="9" max="11" width="5" style="53" customWidth="1"/>
    <col min="12" max="12" width="5.42578125" style="53" customWidth="1"/>
    <col min="13" max="13" width="3.140625" style="53" customWidth="1"/>
    <col min="14" max="14" width="5.42578125" style="53" customWidth="1"/>
    <col min="15" max="17" width="5" style="53" customWidth="1"/>
    <col min="18" max="18" width="5.42578125" style="53" customWidth="1"/>
    <col min="19" max="19" width="3.140625" style="53" customWidth="1"/>
    <col min="20" max="16384" width="9.140625" style="53"/>
  </cols>
  <sheetData>
    <row r="1" spans="1:22" ht="14.25" customHeight="1">
      <c r="B1" s="77" t="str">
        <f>IF(B2="","",Insideinfo!H2)</f>
        <v>CLEAN</v>
      </c>
      <c r="C1" s="78"/>
      <c r="D1" s="77"/>
      <c r="E1" s="147" t="str">
        <f ca="1">Insideinfo!I2</f>
        <v>04/07/2015</v>
      </c>
      <c r="F1" s="159"/>
      <c r="G1" s="160"/>
      <c r="H1" s="77" t="str">
        <f>IF(H2="","",Insideinfo!H3)</f>
        <v>AD</v>
      </c>
      <c r="I1" s="78"/>
      <c r="J1" s="77"/>
      <c r="K1" s="147" t="str">
        <f ca="1">Insideinfo!I3</f>
        <v>04/07/2015</v>
      </c>
      <c r="L1" s="159"/>
      <c r="M1" s="160"/>
      <c r="N1" s="77" t="str">
        <f>IF(N2="","",Insideinfo!H4)</f>
        <v>CLEAN</v>
      </c>
      <c r="O1" s="78"/>
      <c r="P1" s="77"/>
      <c r="Q1" s="147" t="str">
        <f ca="1">Insideinfo!I4</f>
        <v>04/08/2015</v>
      </c>
      <c r="R1" s="159"/>
      <c r="S1" s="74"/>
      <c r="T1" s="92" t="s">
        <v>72</v>
      </c>
      <c r="U1" s="93"/>
      <c r="V1" s="93"/>
    </row>
    <row r="2" spans="1:22" ht="27.75" customHeight="1">
      <c r="B2" s="143" t="str">
        <f>Insideinfo!F2</f>
        <v>Contractor and Subcontractor Payments</v>
      </c>
      <c r="C2" s="153"/>
      <c r="D2" s="153"/>
      <c r="E2" s="153"/>
      <c r="F2" s="153"/>
      <c r="G2" s="160"/>
      <c r="H2" s="143" t="str">
        <f>Insideinfo!F3</f>
        <v>Contractor and Subcontractor Payments</v>
      </c>
      <c r="I2" s="153"/>
      <c r="J2" s="153"/>
      <c r="K2" s="153"/>
      <c r="L2" s="153"/>
      <c r="M2" s="160"/>
      <c r="N2" s="157" t="str">
        <f>Insideinfo!F4</f>
        <v>Medical Marijuana</v>
      </c>
      <c r="O2" s="158"/>
      <c r="P2" s="158"/>
      <c r="Q2" s="158"/>
      <c r="R2" s="158"/>
      <c r="S2" s="74"/>
      <c r="T2" s="156">
        <v>0</v>
      </c>
      <c r="U2" s="156"/>
      <c r="V2" s="93"/>
    </row>
    <row r="3" spans="1:22" ht="24" customHeight="1">
      <c r="A3" s="74"/>
      <c r="B3" s="154" t="str">
        <f>Insideinfo!G2</f>
        <v>PA House Commerce committee hearing</v>
      </c>
      <c r="C3" s="154"/>
      <c r="D3" s="154"/>
      <c r="E3" s="154"/>
      <c r="F3" s="154"/>
      <c r="G3" s="160"/>
      <c r="H3" s="154" t="str">
        <f>Insideinfo!G3</f>
        <v>PA House Commerce committee hearing</v>
      </c>
      <c r="I3" s="154"/>
      <c r="J3" s="154"/>
      <c r="K3" s="154"/>
      <c r="L3" s="154"/>
      <c r="M3" s="160"/>
      <c r="N3" s="148" t="str">
        <f>Insideinfo!G4</f>
        <v>PA House Health and Judiciary committees</v>
      </c>
      <c r="O3" s="148"/>
      <c r="P3" s="148"/>
      <c r="Q3" s="148"/>
      <c r="R3" s="148"/>
      <c r="S3" s="74"/>
      <c r="T3" s="93"/>
      <c r="U3" s="93"/>
      <c r="V3" s="93"/>
    </row>
    <row r="4" spans="1:22" ht="15" customHeight="1">
      <c r="A4" s="74"/>
      <c r="B4" s="79" t="str">
        <f>IF(B2="","","of")</f>
        <v>of</v>
      </c>
      <c r="C4" s="142" t="str">
        <f>IF(B2="","","Deck:")</f>
        <v>Deck:</v>
      </c>
      <c r="D4" s="142"/>
      <c r="E4" s="79" t="str">
        <f>IF(B2="","","by")</f>
        <v>by</v>
      </c>
      <c r="F4" s="80"/>
      <c r="G4" s="160"/>
      <c r="H4" s="79" t="str">
        <f>IF(H2="","","of")</f>
        <v>of</v>
      </c>
      <c r="I4" s="142" t="str">
        <f>IF(H2="","","Deck:")</f>
        <v>Deck:</v>
      </c>
      <c r="J4" s="142"/>
      <c r="K4" s="79" t="str">
        <f>IF(H2="","","by")</f>
        <v>by</v>
      </c>
      <c r="L4" s="80"/>
      <c r="M4" s="160"/>
      <c r="N4" s="79" t="str">
        <f>IF(N2="","","of")</f>
        <v>of</v>
      </c>
      <c r="O4" s="142" t="str">
        <f>IF(N2="","","Deck:")</f>
        <v>Deck:</v>
      </c>
      <c r="P4" s="142"/>
      <c r="Q4" s="79" t="str">
        <f>IF(N2="","","by")</f>
        <v>by</v>
      </c>
      <c r="R4" s="80"/>
      <c r="S4" s="74"/>
    </row>
    <row r="5" spans="1:22" ht="11.25" customHeight="1">
      <c r="A5" s="74"/>
      <c r="B5" s="151"/>
      <c r="C5" s="151"/>
      <c r="D5" s="151"/>
      <c r="E5" s="151"/>
      <c r="F5" s="151"/>
      <c r="G5" s="160"/>
      <c r="H5" s="151"/>
      <c r="I5" s="151"/>
      <c r="J5" s="151"/>
      <c r="K5" s="151"/>
      <c r="L5" s="151"/>
      <c r="M5" s="160"/>
      <c r="N5" s="151"/>
      <c r="O5" s="151"/>
      <c r="P5" s="151"/>
      <c r="Q5" s="151"/>
      <c r="R5" s="151"/>
      <c r="S5" s="74"/>
    </row>
    <row r="6" spans="1:22" ht="14.25" customHeight="1">
      <c r="A6" s="74"/>
      <c r="B6" s="77" t="str">
        <f>IF(B7="","",Insideinfo!H5)</f>
        <v>AD</v>
      </c>
      <c r="C6" s="78"/>
      <c r="D6" s="77"/>
      <c r="E6" s="147" t="str">
        <f ca="1">Insideinfo!I5</f>
        <v>04/08/2015</v>
      </c>
      <c r="F6" s="159"/>
      <c r="G6" s="160"/>
      <c r="H6" s="77" t="str">
        <f>IF(H7="","",Insideinfo!H6)</f>
        <v>AD</v>
      </c>
      <c r="I6" s="78"/>
      <c r="J6" s="77"/>
      <c r="K6" s="147" t="str">
        <f ca="1">Insideinfo!I6</f>
        <v>04/07/2015</v>
      </c>
      <c r="L6" s="159"/>
      <c r="M6" s="160"/>
      <c r="N6" s="77" t="str">
        <f>IF(N7="","",Insideinfo!H7)</f>
        <v>AD</v>
      </c>
      <c r="O6" s="78"/>
      <c r="P6" s="77"/>
      <c r="Q6" s="147" t="str">
        <f ca="1">Insideinfo!I7</f>
        <v>04/06/2015</v>
      </c>
      <c r="R6" s="159"/>
    </row>
    <row r="7" spans="1:22" ht="27.75" customHeight="1">
      <c r="A7" s="74"/>
      <c r="B7" s="143" t="str">
        <f>Insideinfo!F5</f>
        <v>Medical Marijuana</v>
      </c>
      <c r="C7" s="153"/>
      <c r="D7" s="153"/>
      <c r="E7" s="153"/>
      <c r="F7" s="153"/>
      <c r="G7" s="160"/>
      <c r="H7" s="143" t="str">
        <f>Insideinfo!F6</f>
        <v>League of Women Voters of PA-Citizen Education Fun</v>
      </c>
      <c r="I7" s="153"/>
      <c r="J7" s="153"/>
      <c r="K7" s="153"/>
      <c r="L7" s="153"/>
      <c r="M7" s="160"/>
      <c r="N7" s="143" t="str">
        <f>Insideinfo!F7</f>
        <v>Climate Impact on PA</v>
      </c>
      <c r="O7" s="153"/>
      <c r="P7" s="153"/>
      <c r="Q7" s="153"/>
      <c r="R7" s="153"/>
    </row>
    <row r="8" spans="1:22" ht="24" customHeight="1">
      <c r="A8" s="74"/>
      <c r="B8" s="148" t="str">
        <f>Insideinfo!G5</f>
        <v>PA House Health and Judiciary committees</v>
      </c>
      <c r="C8" s="148"/>
      <c r="D8" s="148"/>
      <c r="E8" s="148"/>
      <c r="F8" s="148"/>
      <c r="G8" s="160"/>
      <c r="H8" s="148" t="str">
        <f>Insideinfo!G6</f>
        <v>League of Women Voters of PA-Citizen Edu</v>
      </c>
      <c r="I8" s="148"/>
      <c r="J8" s="148"/>
      <c r="K8" s="148"/>
      <c r="L8" s="148"/>
      <c r="M8" s="160"/>
      <c r="N8" s="148" t="str">
        <f>Insideinfo!G7</f>
        <v>Widener University School of Law forum w</v>
      </c>
      <c r="O8" s="148"/>
      <c r="P8" s="148"/>
      <c r="Q8" s="148"/>
      <c r="R8" s="148"/>
    </row>
    <row r="9" spans="1:22" ht="15" customHeight="1">
      <c r="A9" s="74"/>
      <c r="B9" s="79" t="str">
        <f>IF(B7="","","of")</f>
        <v>of</v>
      </c>
      <c r="C9" s="142" t="str">
        <f>IF(B7="","","Deck:")</f>
        <v>Deck:</v>
      </c>
      <c r="D9" s="142"/>
      <c r="E9" s="79" t="str">
        <f>IF(B7="","","by")</f>
        <v>by</v>
      </c>
      <c r="F9" s="80"/>
      <c r="G9" s="160"/>
      <c r="H9" s="79" t="str">
        <f>IF(H7="","","of")</f>
        <v>of</v>
      </c>
      <c r="I9" s="142" t="str">
        <f>IF(H7="","","Deck:")</f>
        <v>Deck:</v>
      </c>
      <c r="J9" s="142"/>
      <c r="K9" s="79" t="str">
        <f>IF(H7="","","by")</f>
        <v>by</v>
      </c>
      <c r="L9" s="80"/>
      <c r="M9" s="160"/>
      <c r="N9" s="79" t="str">
        <f>IF(N7="","","of")</f>
        <v>of</v>
      </c>
      <c r="O9" s="142" t="str">
        <f>IF(N7="","","Deck:")</f>
        <v>Deck:</v>
      </c>
      <c r="P9" s="142"/>
      <c r="Q9" s="79" t="str">
        <f>IF(N7="","","by")</f>
        <v>by</v>
      </c>
      <c r="R9" s="80"/>
    </row>
    <row r="10" spans="1:22" ht="11.25" customHeight="1">
      <c r="A10" s="74"/>
      <c r="B10" s="151"/>
      <c r="C10" s="151"/>
      <c r="D10" s="151"/>
      <c r="E10" s="151"/>
      <c r="F10" s="151"/>
      <c r="G10" s="160"/>
      <c r="H10" s="151"/>
      <c r="I10" s="151"/>
      <c r="J10" s="151"/>
      <c r="K10" s="151"/>
      <c r="L10" s="151"/>
      <c r="M10" s="160"/>
      <c r="N10" s="151"/>
      <c r="O10" s="151"/>
      <c r="P10" s="151"/>
      <c r="Q10" s="151"/>
      <c r="R10" s="151"/>
    </row>
    <row r="11" spans="1:22" ht="14.25" customHeight="1">
      <c r="A11" s="74"/>
      <c r="B11" s="81" t="str">
        <f>IF(B12="","",Insideinfo!H8)</f>
        <v>CLEAN</v>
      </c>
      <c r="C11" s="82"/>
      <c r="D11" s="77"/>
      <c r="E11" s="145" t="str">
        <f ca="1">Insideinfo!I7</f>
        <v>04/06/2015</v>
      </c>
      <c r="F11" s="146"/>
      <c r="G11" s="160"/>
      <c r="H11" s="84" t="str">
        <f>IF(H12="","",Insideinfo!H9)</f>
        <v>CLEAN</v>
      </c>
      <c r="I11" s="85"/>
      <c r="J11" s="84"/>
      <c r="K11" s="152" t="str">
        <f ca="1">Insideinfo!I9</f>
        <v>04/08/2015</v>
      </c>
      <c r="L11" s="152"/>
      <c r="M11" s="160"/>
      <c r="N11" s="84" t="str">
        <f>IF(N12="","",Insideinfo!H10)</f>
        <v>CLEAN</v>
      </c>
      <c r="O11" s="89"/>
      <c r="P11" s="84"/>
      <c r="Q11" s="152" t="str">
        <f ca="1">Insideinfo!I10</f>
        <v>04/09/2015</v>
      </c>
      <c r="R11" s="152"/>
    </row>
    <row r="12" spans="1:22" ht="27.75" customHeight="1">
      <c r="A12" s="74"/>
      <c r="B12" s="143" t="str">
        <f>Insideinfo!F8</f>
        <v>PA Supreme Court</v>
      </c>
      <c r="C12" s="143"/>
      <c r="D12" s="143"/>
      <c r="E12" s="143"/>
      <c r="F12" s="143"/>
      <c r="G12" s="160"/>
      <c r="H12" s="143" t="str">
        <f>Insideinfo!F9</f>
        <v>PA Supreme Court</v>
      </c>
      <c r="I12" s="143"/>
      <c r="J12" s="143"/>
      <c r="K12" s="143"/>
      <c r="L12" s="143"/>
      <c r="M12" s="160"/>
      <c r="N12" s="155" t="str">
        <f>Insideinfo!F10</f>
        <v>PA Public Utility Commission Meeting</v>
      </c>
      <c r="O12" s="155"/>
      <c r="P12" s="155"/>
      <c r="Q12" s="155"/>
      <c r="R12" s="155"/>
    </row>
    <row r="13" spans="1:22" s="76" customFormat="1" ht="24" customHeight="1">
      <c r="A13" s="75"/>
      <c r="B13" s="148" t="str">
        <f>Insideinfo!G8</f>
        <v>Pittsburgh</v>
      </c>
      <c r="C13" s="148"/>
      <c r="D13" s="148"/>
      <c r="E13" s="148"/>
      <c r="F13" s="148"/>
      <c r="G13" s="160"/>
      <c r="H13" s="141" t="str">
        <f>Insideinfo!G9</f>
        <v>Pittsburgh</v>
      </c>
      <c r="I13" s="141"/>
      <c r="J13" s="141"/>
      <c r="K13" s="141"/>
      <c r="L13" s="141"/>
      <c r="M13" s="160"/>
      <c r="N13" s="141" t="str">
        <f>Insideinfo!G10</f>
        <v>Harrisburg</v>
      </c>
      <c r="O13" s="141"/>
      <c r="P13" s="141"/>
      <c r="Q13" s="141"/>
      <c r="R13" s="141"/>
    </row>
    <row r="14" spans="1:22" ht="15.75" customHeight="1">
      <c r="A14" s="74"/>
      <c r="B14" s="83" t="str">
        <f>IF(B12="","","of")</f>
        <v>of</v>
      </c>
      <c r="C14" s="142" t="str">
        <f>IF(B12="","","Deck:")</f>
        <v>Deck:</v>
      </c>
      <c r="D14" s="142"/>
      <c r="E14" s="79" t="str">
        <f>IF(B12="","","by")</f>
        <v>by</v>
      </c>
      <c r="F14" s="80"/>
      <c r="G14" s="160"/>
      <c r="H14" s="86" t="str">
        <f>IF(H12="","","of")</f>
        <v>of</v>
      </c>
      <c r="I14" s="150" t="str">
        <f>IF(H12="","","Deck:")</f>
        <v>Deck:</v>
      </c>
      <c r="J14" s="150"/>
      <c r="K14" s="87" t="str">
        <f>IF(H12="","","by")</f>
        <v>by</v>
      </c>
      <c r="L14" s="88"/>
      <c r="M14" s="160"/>
      <c r="N14" s="86" t="str">
        <f>IF(N12="","","of")</f>
        <v>of</v>
      </c>
      <c r="O14" s="150" t="str">
        <f>IF(N12="","","Deck:")</f>
        <v>Deck:</v>
      </c>
      <c r="P14" s="150"/>
      <c r="Q14" s="87" t="str">
        <f>IF(N12="","","by")</f>
        <v>by</v>
      </c>
      <c r="R14" s="88"/>
    </row>
    <row r="15" spans="1:22" ht="11.25" customHeight="1">
      <c r="A15" s="74"/>
      <c r="G15" s="160"/>
      <c r="M15" s="160"/>
    </row>
    <row r="16" spans="1:22" ht="14.25" customHeight="1">
      <c r="A16" s="74"/>
      <c r="B16" s="81" t="str">
        <f>IF(H17="","",Insideinfo!H11)</f>
        <v/>
      </c>
      <c r="C16" s="82"/>
      <c r="D16" s="77"/>
      <c r="E16" s="145" t="str">
        <f>Insideinfo!I11</f>
        <v/>
      </c>
      <c r="F16" s="146"/>
      <c r="G16" s="160"/>
      <c r="H16" s="84" t="str">
        <f>IF(H17="","",Insideinfo!H12)</f>
        <v/>
      </c>
      <c r="I16" s="85"/>
      <c r="J16" s="84"/>
      <c r="K16" s="152" t="str">
        <f>Insideinfo!I12</f>
        <v/>
      </c>
      <c r="L16" s="152"/>
      <c r="M16" s="160"/>
      <c r="N16" s="84" t="str">
        <f>IF(N17="","",Insideinfo!H13)</f>
        <v/>
      </c>
      <c r="O16" s="89"/>
      <c r="P16" s="84"/>
      <c r="Q16" s="147" t="str">
        <f>Insideinfo!I13</f>
        <v/>
      </c>
      <c r="R16" s="147"/>
    </row>
    <row r="17" spans="1:18" ht="27.75" customHeight="1">
      <c r="A17" s="74"/>
      <c r="B17" s="143" t="str">
        <f>Insideinfo!F11</f>
        <v/>
      </c>
      <c r="C17" s="143"/>
      <c r="D17" s="143"/>
      <c r="E17" s="143"/>
      <c r="F17" s="143"/>
      <c r="G17" s="160"/>
      <c r="H17" s="143" t="str">
        <f>Insideinfo!F12</f>
        <v/>
      </c>
      <c r="I17" s="143"/>
      <c r="J17" s="143"/>
      <c r="K17" s="143"/>
      <c r="L17" s="143"/>
      <c r="M17" s="160"/>
      <c r="N17" s="143" t="str">
        <f>Insideinfo!F13</f>
        <v/>
      </c>
      <c r="O17" s="143"/>
      <c r="P17" s="143"/>
      <c r="Q17" s="143"/>
      <c r="R17" s="143"/>
    </row>
    <row r="18" spans="1:18" ht="24" customHeight="1">
      <c r="A18" s="74"/>
      <c r="B18" s="148" t="str">
        <f>Insideinfo!G11</f>
        <v/>
      </c>
      <c r="C18" s="148"/>
      <c r="D18" s="148"/>
      <c r="E18" s="148"/>
      <c r="F18" s="148"/>
      <c r="G18" s="160"/>
      <c r="H18" s="148" t="str">
        <f>Insideinfo!G12</f>
        <v/>
      </c>
      <c r="I18" s="148"/>
      <c r="J18" s="148"/>
      <c r="K18" s="148"/>
      <c r="L18" s="148"/>
      <c r="M18" s="160"/>
      <c r="N18" s="148" t="str">
        <f>Insideinfo!G13</f>
        <v/>
      </c>
      <c r="O18" s="148"/>
      <c r="P18" s="148"/>
      <c r="Q18" s="148"/>
      <c r="R18" s="148"/>
    </row>
    <row r="19" spans="1:18" ht="15" customHeight="1">
      <c r="A19" s="74"/>
      <c r="B19" s="83" t="str">
        <f>IF(B17="","","of")</f>
        <v/>
      </c>
      <c r="C19" s="142" t="str">
        <f>IF(B17="","","Deck:")</f>
        <v/>
      </c>
      <c r="D19" s="142"/>
      <c r="E19" s="79" t="str">
        <f>IF(B17="","","by")</f>
        <v/>
      </c>
      <c r="F19" s="80"/>
      <c r="G19" s="160"/>
      <c r="H19" s="86" t="str">
        <f>IF(H17="","","of")</f>
        <v/>
      </c>
      <c r="I19" s="150" t="str">
        <f>IF(H17="","","Deck:")</f>
        <v/>
      </c>
      <c r="J19" s="150"/>
      <c r="K19" s="87" t="str">
        <f>IF(H17="","","by")</f>
        <v/>
      </c>
      <c r="L19" s="88"/>
      <c r="M19" s="160"/>
      <c r="N19" s="86" t="str">
        <f>IF(N17="","","of")</f>
        <v/>
      </c>
      <c r="O19" s="150" t="str">
        <f>IF(N17="","","Deck:")</f>
        <v/>
      </c>
      <c r="P19" s="150"/>
      <c r="Q19" s="87" t="str">
        <f>IF(N17="","","by")</f>
        <v/>
      </c>
      <c r="R19" s="88"/>
    </row>
    <row r="20" spans="1:18" ht="11.25" customHeight="1">
      <c r="A20" s="74"/>
      <c r="B20" s="151"/>
      <c r="C20" s="151"/>
      <c r="D20" s="151"/>
      <c r="E20" s="151"/>
      <c r="F20" s="151"/>
      <c r="G20" s="160"/>
      <c r="H20" s="151"/>
      <c r="I20" s="151"/>
      <c r="J20" s="151"/>
      <c r="K20" s="151"/>
      <c r="L20" s="151"/>
      <c r="M20" s="160"/>
      <c r="N20" s="151"/>
      <c r="O20" s="151"/>
      <c r="P20" s="151"/>
      <c r="Q20" s="151"/>
      <c r="R20" s="151"/>
    </row>
    <row r="21" spans="1:18" ht="14.25" customHeight="1">
      <c r="B21" s="81" t="str">
        <f>IF(B22="","",Insideinfo!H14)</f>
        <v/>
      </c>
      <c r="C21" s="82"/>
      <c r="D21" s="77"/>
      <c r="E21" s="145" t="str">
        <f>Insideinfo!I14</f>
        <v/>
      </c>
      <c r="F21" s="146"/>
      <c r="G21" s="160"/>
      <c r="H21" s="84" t="str">
        <f>IF(H22="","",Insideinfo!H15)</f>
        <v/>
      </c>
      <c r="I21" s="85"/>
      <c r="J21" s="84"/>
      <c r="K21" s="147" t="str">
        <f>Insideinfo!I15</f>
        <v/>
      </c>
      <c r="L21" s="147"/>
      <c r="M21" s="160"/>
      <c r="N21" s="84" t="str">
        <f>IF(N22="","",Insideinfo!H16)</f>
        <v/>
      </c>
      <c r="O21" s="89"/>
      <c r="P21" s="84"/>
      <c r="Q21" s="147" t="str">
        <f>Insideinfo!I16</f>
        <v/>
      </c>
      <c r="R21" s="147"/>
    </row>
    <row r="22" spans="1:18" ht="27.75" customHeight="1">
      <c r="B22" s="143" t="str">
        <f>Insideinfo!F14</f>
        <v/>
      </c>
      <c r="C22" s="143"/>
      <c r="D22" s="143"/>
      <c r="E22" s="143"/>
      <c r="F22" s="143"/>
      <c r="G22" s="160"/>
      <c r="H22" s="143" t="str">
        <f>Insideinfo!F15</f>
        <v/>
      </c>
      <c r="I22" s="143"/>
      <c r="J22" s="143"/>
      <c r="K22" s="143"/>
      <c r="L22" s="143"/>
      <c r="M22" s="160"/>
      <c r="N22" s="143" t="str">
        <f>Insideinfo!F16</f>
        <v/>
      </c>
      <c r="O22" s="143"/>
      <c r="P22" s="143"/>
      <c r="Q22" s="143"/>
      <c r="R22" s="143"/>
    </row>
    <row r="23" spans="1:18" ht="24" customHeight="1">
      <c r="B23" s="148" t="str">
        <f>Insideinfo!G14</f>
        <v/>
      </c>
      <c r="C23" s="148"/>
      <c r="D23" s="148"/>
      <c r="E23" s="148"/>
      <c r="F23" s="148"/>
      <c r="G23" s="160"/>
      <c r="H23" s="148" t="str">
        <f>Insideinfo!G15</f>
        <v/>
      </c>
      <c r="I23" s="148"/>
      <c r="J23" s="148"/>
      <c r="K23" s="148"/>
      <c r="L23" s="148"/>
      <c r="M23" s="160"/>
      <c r="N23" s="148" t="str">
        <f>Insideinfo!G16</f>
        <v/>
      </c>
      <c r="O23" s="148"/>
      <c r="P23" s="148"/>
      <c r="Q23" s="148"/>
      <c r="R23" s="148"/>
    </row>
    <row r="24" spans="1:18" ht="15" customHeight="1">
      <c r="B24" s="83" t="str">
        <f>IF(B22="","","of")</f>
        <v/>
      </c>
      <c r="C24" s="142" t="str">
        <f>IF(B22="","","Deck:")</f>
        <v/>
      </c>
      <c r="D24" s="142"/>
      <c r="E24" s="79" t="str">
        <f>IF(B22="","","by")</f>
        <v/>
      </c>
      <c r="F24" s="80"/>
      <c r="G24" s="160"/>
      <c r="H24" s="90" t="str">
        <f>IF(H22="","","of")</f>
        <v/>
      </c>
      <c r="I24" s="142" t="str">
        <f>IF(H22="","","Deck:")</f>
        <v/>
      </c>
      <c r="J24" s="142"/>
      <c r="K24" s="79" t="str">
        <f>IF(H22="","","by")</f>
        <v/>
      </c>
      <c r="L24" s="88"/>
      <c r="M24" s="160"/>
      <c r="N24" s="90" t="str">
        <f>IF(N22="","","of")</f>
        <v/>
      </c>
      <c r="O24" s="142" t="str">
        <f>IF(N22="","","Deck:")</f>
        <v/>
      </c>
      <c r="P24" s="142"/>
      <c r="Q24" s="91" t="str">
        <f>IF(N22="","","by")</f>
        <v/>
      </c>
      <c r="R24" s="88"/>
    </row>
    <row r="25" spans="1:18" ht="11.25" customHeight="1">
      <c r="G25" s="160"/>
      <c r="M25" s="160"/>
    </row>
    <row r="26" spans="1:18" ht="14.25" customHeight="1">
      <c r="B26" s="81" t="str">
        <f>IF(B27="","",Insideinfo!H17)</f>
        <v/>
      </c>
      <c r="C26" s="82"/>
      <c r="D26" s="77"/>
      <c r="E26" s="145" t="str">
        <f>Insideinfo!I17</f>
        <v/>
      </c>
      <c r="F26" s="146"/>
      <c r="G26" s="160"/>
      <c r="H26" s="84" t="str">
        <f>IF(H27="","",Insideinfo!H18)</f>
        <v/>
      </c>
      <c r="I26" s="85"/>
      <c r="J26" s="84"/>
      <c r="K26" s="149" t="str">
        <f>Insideinfo!I18</f>
        <v/>
      </c>
      <c r="L26" s="149"/>
      <c r="M26" s="160"/>
      <c r="N26" s="84" t="str">
        <f>IF(N27="","",Insideinfo!H19)</f>
        <v/>
      </c>
      <c r="O26" s="89"/>
      <c r="P26" s="84"/>
      <c r="Q26" s="149" t="str">
        <f>Insideinfo!I19</f>
        <v/>
      </c>
      <c r="R26" s="149"/>
    </row>
    <row r="27" spans="1:18" ht="27.75" customHeight="1">
      <c r="B27" s="143" t="str">
        <f>Insideinfo!F17</f>
        <v/>
      </c>
      <c r="C27" s="143"/>
      <c r="D27" s="143"/>
      <c r="E27" s="143"/>
      <c r="F27" s="143"/>
      <c r="G27" s="160"/>
      <c r="H27" s="143" t="str">
        <f>Insideinfo!F18</f>
        <v/>
      </c>
      <c r="I27" s="143"/>
      <c r="J27" s="143"/>
      <c r="K27" s="143"/>
      <c r="L27" s="143"/>
      <c r="M27" s="160"/>
      <c r="N27" s="143" t="str">
        <f>Insideinfo!F19</f>
        <v/>
      </c>
      <c r="O27" s="143"/>
      <c r="P27" s="143"/>
      <c r="Q27" s="143"/>
      <c r="R27" s="143"/>
    </row>
    <row r="28" spans="1:18" ht="24" customHeight="1">
      <c r="B28" s="148" t="str">
        <f>Insideinfo!G17</f>
        <v/>
      </c>
      <c r="C28" s="148"/>
      <c r="D28" s="148"/>
      <c r="E28" s="148"/>
      <c r="F28" s="148"/>
      <c r="G28" s="160"/>
      <c r="H28" s="148" t="str">
        <f>Insideinfo!G18</f>
        <v/>
      </c>
      <c r="I28" s="148"/>
      <c r="J28" s="148"/>
      <c r="K28" s="148"/>
      <c r="L28" s="148"/>
      <c r="M28" s="160"/>
      <c r="N28" s="141" t="str">
        <f>Insideinfo!G19</f>
        <v/>
      </c>
      <c r="O28" s="141"/>
      <c r="P28" s="141"/>
      <c r="Q28" s="141"/>
      <c r="R28" s="141"/>
    </row>
    <row r="29" spans="1:18" ht="15" customHeight="1">
      <c r="B29" s="83" t="str">
        <f>IF(B27="","","of")</f>
        <v/>
      </c>
      <c r="C29" s="142" t="str">
        <f>IF(B27="","","Deck:")</f>
        <v/>
      </c>
      <c r="D29" s="142"/>
      <c r="E29" s="79" t="str">
        <f>IF(B27="","","by")</f>
        <v/>
      </c>
      <c r="F29" s="80"/>
      <c r="G29" s="160"/>
      <c r="H29" s="83" t="str">
        <f>IF(H27="","","of")</f>
        <v/>
      </c>
      <c r="I29" s="142" t="str">
        <f>IF(H27="","","Deck:")</f>
        <v/>
      </c>
      <c r="J29" s="142"/>
      <c r="K29" s="79" t="str">
        <f>IF(H27="","","by")</f>
        <v/>
      </c>
      <c r="L29" s="88"/>
      <c r="M29" s="160"/>
      <c r="N29" s="83" t="str">
        <f>IF(N27="","","of")</f>
        <v/>
      </c>
      <c r="O29" s="142" t="str">
        <f>IF(N29="","","Deck:")</f>
        <v/>
      </c>
      <c r="P29" s="142"/>
      <c r="Q29" s="79" t="str">
        <f>IF(N27="","","by")</f>
        <v/>
      </c>
      <c r="R29" s="88"/>
    </row>
    <row r="30" spans="1:18" ht="11.25" customHeight="1">
      <c r="G30" s="160"/>
      <c r="M30" s="160"/>
    </row>
    <row r="31" spans="1:18" ht="14.25" customHeight="1">
      <c r="B31" s="81" t="str">
        <f>IF(B32="","",Insideinfo!H20)</f>
        <v/>
      </c>
      <c r="C31" s="82"/>
      <c r="D31" s="77"/>
      <c r="E31" s="145" t="str">
        <f>Insideinfo!I20</f>
        <v/>
      </c>
      <c r="F31" s="146"/>
      <c r="G31" s="160"/>
      <c r="H31" s="84" t="str">
        <f>IF(H32="","",Insideinfo!H21)</f>
        <v/>
      </c>
      <c r="I31" s="85"/>
      <c r="J31" s="84"/>
      <c r="K31" s="147" t="str">
        <f>Insideinfo!I21</f>
        <v/>
      </c>
      <c r="L31" s="147"/>
      <c r="M31" s="160"/>
      <c r="N31" s="84" t="str">
        <f>IF(N32="","",Insideinfo!H22)</f>
        <v/>
      </c>
      <c r="O31" s="89"/>
      <c r="P31" s="84"/>
      <c r="Q31" s="147" t="str">
        <f>Insideinfo!I22</f>
        <v/>
      </c>
      <c r="R31" s="147"/>
    </row>
    <row r="32" spans="1:18" ht="27.75" customHeight="1">
      <c r="B32" s="143" t="str">
        <f>Insideinfo!F20</f>
        <v/>
      </c>
      <c r="C32" s="143"/>
      <c r="D32" s="143"/>
      <c r="E32" s="143"/>
      <c r="F32" s="143"/>
      <c r="G32" s="160"/>
      <c r="H32" s="143" t="str">
        <f>Insideinfo!F21</f>
        <v/>
      </c>
      <c r="I32" s="143"/>
      <c r="J32" s="143"/>
      <c r="K32" s="143"/>
      <c r="L32" s="143"/>
      <c r="M32" s="160"/>
      <c r="N32" s="143" t="str">
        <f>Insideinfo!F22</f>
        <v/>
      </c>
      <c r="O32" s="143"/>
      <c r="P32" s="143"/>
      <c r="Q32" s="143"/>
      <c r="R32" s="143"/>
    </row>
    <row r="33" spans="2:18" ht="24" customHeight="1">
      <c r="B33" s="140" t="str">
        <f>Insideinfo!G20</f>
        <v/>
      </c>
      <c r="C33" s="140"/>
      <c r="D33" s="140"/>
      <c r="E33" s="140"/>
      <c r="F33" s="140"/>
      <c r="G33" s="160"/>
      <c r="H33" s="141" t="str">
        <f>Insideinfo!G21</f>
        <v/>
      </c>
      <c r="I33" s="141"/>
      <c r="J33" s="141"/>
      <c r="K33" s="141"/>
      <c r="L33" s="141"/>
      <c r="M33" s="160"/>
      <c r="N33" s="141" t="str">
        <f>Insideinfo!G22</f>
        <v/>
      </c>
      <c r="O33" s="141"/>
      <c r="P33" s="141"/>
      <c r="Q33" s="141"/>
      <c r="R33" s="141"/>
    </row>
    <row r="34" spans="2:18" ht="15" customHeight="1">
      <c r="B34" s="83" t="str">
        <f>IF(B32="","","of")</f>
        <v/>
      </c>
      <c r="C34" s="142" t="str">
        <f>IF(B32="","","Deck:")</f>
        <v/>
      </c>
      <c r="D34" s="142"/>
      <c r="E34" s="79" t="str">
        <f>IF(B32="","","by")</f>
        <v/>
      </c>
      <c r="F34" s="80"/>
      <c r="G34" s="160"/>
      <c r="H34" s="83" t="str">
        <f>IF(H32="","","of")</f>
        <v/>
      </c>
      <c r="I34" s="142" t="str">
        <f>IF(H32="","","Deck:")</f>
        <v/>
      </c>
      <c r="J34" s="142"/>
      <c r="K34" s="79" t="str">
        <f>IF(H32="","","by")</f>
        <v/>
      </c>
      <c r="L34" s="88"/>
      <c r="M34" s="160"/>
      <c r="N34" s="83" t="str">
        <f>IF(N32="","","of")</f>
        <v/>
      </c>
      <c r="O34" s="144" t="str">
        <f>IF(N32="","","Deck:")</f>
        <v/>
      </c>
      <c r="P34" s="144"/>
      <c r="Q34" s="79" t="str">
        <f>IF(N32="","","by")</f>
        <v/>
      </c>
      <c r="R34" s="88"/>
    </row>
    <row r="35" spans="2:18" ht="11.25" customHeight="1">
      <c r="G35" s="160"/>
      <c r="M35" s="160"/>
    </row>
    <row r="36" spans="2:18" ht="14.25" customHeight="1">
      <c r="B36" s="81" t="str">
        <f>IF(B38="","",Insideinfo!H23)</f>
        <v/>
      </c>
      <c r="C36" s="82"/>
      <c r="D36" s="77"/>
      <c r="E36" s="145" t="str">
        <f>Insideinfo!I23</f>
        <v/>
      </c>
      <c r="F36" s="146"/>
      <c r="G36" s="160"/>
      <c r="H36" s="84" t="str">
        <f>IF(H38="","",Insideinfo!H24)</f>
        <v/>
      </c>
      <c r="I36" s="85"/>
      <c r="J36" s="84"/>
      <c r="K36" s="147" t="str">
        <f>Insideinfo!I24</f>
        <v/>
      </c>
      <c r="L36" s="147"/>
      <c r="M36" s="160"/>
      <c r="N36" s="84" t="str">
        <f>IF(H39="","",Insideinfo!H25)</f>
        <v/>
      </c>
      <c r="O36" s="89"/>
      <c r="P36" s="84"/>
      <c r="Q36" s="147" t="str">
        <f>Insideinfo!I25</f>
        <v/>
      </c>
      <c r="R36" s="147"/>
    </row>
    <row r="37" spans="2:18" ht="27.75" customHeight="1">
      <c r="B37" s="143" t="str">
        <f>Insideinfo!F23</f>
        <v/>
      </c>
      <c r="C37" s="143"/>
      <c r="D37" s="143"/>
      <c r="E37" s="143"/>
      <c r="F37" s="143"/>
      <c r="G37" s="160"/>
      <c r="H37" s="143" t="str">
        <f>Insideinfo!F24</f>
        <v/>
      </c>
      <c r="I37" s="143"/>
      <c r="J37" s="143"/>
      <c r="K37" s="143"/>
      <c r="L37" s="143"/>
      <c r="M37" s="160"/>
      <c r="N37" s="143" t="str">
        <f>Insideinfo!F25</f>
        <v/>
      </c>
      <c r="O37" s="143"/>
      <c r="P37" s="143"/>
      <c r="Q37" s="143"/>
      <c r="R37" s="143"/>
    </row>
    <row r="38" spans="2:18" ht="24" customHeight="1">
      <c r="B38" s="140" t="str">
        <f>Insideinfo!G23</f>
        <v/>
      </c>
      <c r="C38" s="140"/>
      <c r="D38" s="140"/>
      <c r="E38" s="140"/>
      <c r="F38" s="140"/>
      <c r="G38" s="160"/>
      <c r="H38" s="141" t="str">
        <f>Insideinfo!G24</f>
        <v/>
      </c>
      <c r="I38" s="141"/>
      <c r="J38" s="141"/>
      <c r="K38" s="141"/>
      <c r="L38" s="141"/>
      <c r="M38" s="160"/>
      <c r="N38" s="141" t="str">
        <f>Insideinfo!G25</f>
        <v/>
      </c>
      <c r="O38" s="141"/>
      <c r="P38" s="141"/>
      <c r="Q38" s="141"/>
      <c r="R38" s="141"/>
    </row>
    <row r="39" spans="2:18" ht="15" customHeight="1">
      <c r="B39" s="83" t="str">
        <f>IF(B37="","","of")</f>
        <v/>
      </c>
      <c r="C39" s="142" t="str">
        <f>IF(B37="","","Deck:")</f>
        <v/>
      </c>
      <c r="D39" s="142"/>
      <c r="E39" s="79" t="str">
        <f>IF(B37="","","by")</f>
        <v/>
      </c>
      <c r="F39" s="80"/>
      <c r="G39" s="160"/>
      <c r="H39" s="83" t="str">
        <f>IF(H37="","","of")</f>
        <v/>
      </c>
      <c r="I39" s="142" t="str">
        <f>IF(H37="","","Deck:")</f>
        <v/>
      </c>
      <c r="J39" s="142"/>
      <c r="K39" s="79" t="str">
        <f>IF(H37="","","by")</f>
        <v/>
      </c>
      <c r="L39" s="88"/>
      <c r="M39" s="160"/>
      <c r="N39" s="83" t="str">
        <f>IF(N37="","","of")</f>
        <v/>
      </c>
      <c r="O39" s="142" t="str">
        <f>IF(N37="","","Deck:")</f>
        <v/>
      </c>
      <c r="P39" s="142"/>
      <c r="Q39" s="79" t="str">
        <f>IF(N37="","","by")</f>
        <v/>
      </c>
      <c r="R39" s="88"/>
    </row>
  </sheetData>
  <mergeCells count="108">
    <mergeCell ref="T2:U2"/>
    <mergeCell ref="B2:F2"/>
    <mergeCell ref="H2:L2"/>
    <mergeCell ref="N2:R2"/>
    <mergeCell ref="E1:F1"/>
    <mergeCell ref="G1:G39"/>
    <mergeCell ref="K1:L1"/>
    <mergeCell ref="M1:M39"/>
    <mergeCell ref="Q1:R1"/>
    <mergeCell ref="B5:F5"/>
    <mergeCell ref="H5:L5"/>
    <mergeCell ref="N5:R5"/>
    <mergeCell ref="E6:F6"/>
    <mergeCell ref="K6:L6"/>
    <mergeCell ref="Q6:R6"/>
    <mergeCell ref="B10:F10"/>
    <mergeCell ref="H10:L10"/>
    <mergeCell ref="N10:R10"/>
    <mergeCell ref="E11:F11"/>
    <mergeCell ref="K11:L11"/>
    <mergeCell ref="Q11:R11"/>
    <mergeCell ref="E16:F16"/>
    <mergeCell ref="B7:F7"/>
    <mergeCell ref="H7:L7"/>
    <mergeCell ref="N7:R7"/>
    <mergeCell ref="B3:F3"/>
    <mergeCell ref="H3:L3"/>
    <mergeCell ref="N3:R3"/>
    <mergeCell ref="C4:D4"/>
    <mergeCell ref="I4:J4"/>
    <mergeCell ref="O4:P4"/>
    <mergeCell ref="B12:F12"/>
    <mergeCell ref="H12:L12"/>
    <mergeCell ref="N12:R12"/>
    <mergeCell ref="B8:F8"/>
    <mergeCell ref="H8:L8"/>
    <mergeCell ref="N8:R8"/>
    <mergeCell ref="C9:D9"/>
    <mergeCell ref="I9:J9"/>
    <mergeCell ref="O9:P9"/>
    <mergeCell ref="B17:F17"/>
    <mergeCell ref="H17:L17"/>
    <mergeCell ref="N17:R17"/>
    <mergeCell ref="B13:F13"/>
    <mergeCell ref="H13:L13"/>
    <mergeCell ref="N13:R13"/>
    <mergeCell ref="C14:D14"/>
    <mergeCell ref="I14:J14"/>
    <mergeCell ref="O14:P14"/>
    <mergeCell ref="K16:L16"/>
    <mergeCell ref="Q16:R16"/>
    <mergeCell ref="B22:F22"/>
    <mergeCell ref="H22:L22"/>
    <mergeCell ref="N22:R22"/>
    <mergeCell ref="B18:F18"/>
    <mergeCell ref="H18:L18"/>
    <mergeCell ref="N18:R18"/>
    <mergeCell ref="C19:D19"/>
    <mergeCell ref="I19:J19"/>
    <mergeCell ref="O19:P19"/>
    <mergeCell ref="B20:F20"/>
    <mergeCell ref="H20:L20"/>
    <mergeCell ref="N20:R20"/>
    <mergeCell ref="E21:F21"/>
    <mergeCell ref="K21:L21"/>
    <mergeCell ref="Q21:R21"/>
    <mergeCell ref="B27:F27"/>
    <mergeCell ref="H27:L27"/>
    <mergeCell ref="N27:R27"/>
    <mergeCell ref="B23:F23"/>
    <mergeCell ref="H23:L23"/>
    <mergeCell ref="N23:R23"/>
    <mergeCell ref="C24:D24"/>
    <mergeCell ref="I24:J24"/>
    <mergeCell ref="O24:P24"/>
    <mergeCell ref="E26:F26"/>
    <mergeCell ref="K26:L26"/>
    <mergeCell ref="Q26:R26"/>
    <mergeCell ref="B32:F32"/>
    <mergeCell ref="H32:L32"/>
    <mergeCell ref="N32:R32"/>
    <mergeCell ref="B28:F28"/>
    <mergeCell ref="H28:L28"/>
    <mergeCell ref="N28:R28"/>
    <mergeCell ref="C29:D29"/>
    <mergeCell ref="I29:J29"/>
    <mergeCell ref="O29:P29"/>
    <mergeCell ref="E31:F31"/>
    <mergeCell ref="K31:L31"/>
    <mergeCell ref="Q31:R31"/>
    <mergeCell ref="B33:F33"/>
    <mergeCell ref="H33:L33"/>
    <mergeCell ref="N33:R33"/>
    <mergeCell ref="C34:D34"/>
    <mergeCell ref="I34:J34"/>
    <mergeCell ref="O34:P34"/>
    <mergeCell ref="E36:F36"/>
    <mergeCell ref="K36:L36"/>
    <mergeCell ref="Q36:R36"/>
    <mergeCell ref="B38:F38"/>
    <mergeCell ref="H38:L38"/>
    <mergeCell ref="N38:R38"/>
    <mergeCell ref="C39:D39"/>
    <mergeCell ref="I39:J39"/>
    <mergeCell ref="O39:P39"/>
    <mergeCell ref="B37:F37"/>
    <mergeCell ref="H37:L37"/>
    <mergeCell ref="N37:R37"/>
  </mergeCells>
  <pageMargins left="0.5" right="0.5" top="0.56000000000000005" bottom="0.5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V709"/>
  <sheetViews>
    <sheetView workbookViewId="0">
      <selection activeCell="G2" sqref="G2"/>
    </sheetView>
  </sheetViews>
  <sheetFormatPr defaultRowHeight="15"/>
  <cols>
    <col min="1" max="1" width="10.5703125" style="7" customWidth="1"/>
    <col min="2" max="2" width="16.85546875" style="7" customWidth="1"/>
    <col min="3" max="3" width="13" style="165" customWidth="1"/>
    <col min="4" max="4" width="10.140625" style="7" customWidth="1"/>
    <col min="5" max="5" width="13.140625" style="7" customWidth="1"/>
    <col min="6" max="6" width="12.5703125" style="167" customWidth="1"/>
    <col min="7" max="7" width="16.7109375" style="7" customWidth="1"/>
    <col min="8" max="8" width="15.140625" style="7" customWidth="1"/>
    <col min="9" max="9" width="9.140625" style="163"/>
    <col min="10" max="10" width="9.140625" style="7"/>
    <col min="11" max="11" width="6.85546875" style="7" customWidth="1"/>
  </cols>
  <sheetData>
    <row r="1" spans="1:22" ht="30">
      <c r="A1" s="164" t="s">
        <v>22</v>
      </c>
      <c r="B1" s="164"/>
      <c r="D1" s="166" t="s">
        <v>23</v>
      </c>
      <c r="E1" s="166"/>
      <c r="G1" s="164" t="s">
        <v>24</v>
      </c>
      <c r="H1" s="164"/>
      <c r="J1" s="161" t="s">
        <v>26</v>
      </c>
      <c r="K1" s="161"/>
      <c r="L1" s="162"/>
      <c r="M1" s="161" t="s">
        <v>27</v>
      </c>
      <c r="N1" s="161"/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  <c r="V1" t="s">
        <v>34</v>
      </c>
    </row>
    <row r="2" spans="1:22">
      <c r="A2" s="7" t="str">
        <f>SUBSTITUTE(Sheet2!B2,"\&amp;quot;","''")</f>
        <v>Contractor and Subcontractor Payments</v>
      </c>
      <c r="B2" s="7" t="str">
        <f>SUBSTITUTE(Sheet2!C2,"\&amp;quot;","''")</f>
        <v>PA House Commerce committee hearing</v>
      </c>
      <c r="D2" s="7" t="str">
        <f>SUBSTITUTE(A2,"\&amp;#039;","'")</f>
        <v>Contractor and Subcontractor Payments</v>
      </c>
      <c r="E2" s="7" t="str">
        <f>SUBSTITUTE(B2,"\&amp;#039;","'")</f>
        <v>PA House Commerce committee hearing</v>
      </c>
      <c r="G2" s="7" t="str">
        <f>SUBSTITUTE(D2,"&amp;amp;","&amp;")</f>
        <v>Contractor and Subcontractor Payments</v>
      </c>
      <c r="H2" s="7" t="str">
        <f>SUBSTITUTE(E2,"&amp;amp;","&amp;")</f>
        <v>PA House Commerce committee hearing</v>
      </c>
      <c r="J2" s="7" t="str">
        <f>SUBSTITUTE(G2,"(LIVE)","")</f>
        <v>Contractor and Subcontractor Payments</v>
      </c>
      <c r="K2" s="7" t="str">
        <f>SUBSTITUTE(H2,"(LIVE)","")</f>
        <v>PA House Commerce committee hearing</v>
      </c>
      <c r="L2" s="162"/>
      <c r="M2" t="str">
        <f>SUBSTITUTE(J2,"(TODAY)","")</f>
        <v>Contractor and Subcontractor Payments</v>
      </c>
      <c r="N2" t="str">
        <f>SUBSTITUTE(K2,"(Today)","")</f>
        <v>PA House Commerce committee hearing</v>
      </c>
      <c r="P2" t="str">
        <f>SUBSTITUTE(N2,"(Monday)","")</f>
        <v>PA House Commerce committee hearing</v>
      </c>
      <c r="Q2" t="str">
        <f>SUBSTITUTE(P2,"(Tuesday)","")</f>
        <v>PA House Commerce committee hearing</v>
      </c>
      <c r="R2" t="str">
        <f>SUBSTITUTE(Q2,"(Wednesday)","")</f>
        <v>PA House Commerce committee hearing</v>
      </c>
      <c r="S2" t="str">
        <f>SUBSTITUTE(R2,"(Thursday)","")</f>
        <v>PA House Commerce committee hearing</v>
      </c>
      <c r="T2" t="str">
        <f>SUBSTITUTE(S2,"(Friday)","")</f>
        <v>PA House Commerce committee hearing</v>
      </c>
      <c r="U2" t="str">
        <f>SUBSTITUTE(T2,"(Saturday)","")</f>
        <v>PA House Commerce committee hearing</v>
      </c>
      <c r="V2" t="str">
        <f>SUBSTITUTE(U2,"(Sunday)","")</f>
        <v>PA House Commerce committee hearing</v>
      </c>
    </row>
    <row r="3" spans="1:22">
      <c r="A3" s="7" t="str">
        <f>SUBSTITUTE(Sheet2!B3,"\&amp;quot;","''")</f>
        <v>Contractor and Subcontractor Payments</v>
      </c>
      <c r="B3" s="7" t="str">
        <f>SUBSTITUTE(Sheet2!C3,"\&amp;quot;","''")</f>
        <v>PA House Commerce committee hearing</v>
      </c>
      <c r="D3" s="7" t="str">
        <f t="shared" ref="D3:E66" si="0">SUBSTITUTE(A3,"\&amp;#039;","'")</f>
        <v>Contractor and Subcontractor Payments</v>
      </c>
      <c r="E3" s="7" t="str">
        <f t="shared" si="0"/>
        <v>PA House Commerce committee hearing</v>
      </c>
      <c r="G3" s="7" t="str">
        <f t="shared" ref="G3:H66" si="1">SUBSTITUTE(D3,"&amp;amp;","&amp;")</f>
        <v>Contractor and Subcontractor Payments</v>
      </c>
      <c r="H3" s="7" t="str">
        <f t="shared" si="1"/>
        <v>PA House Commerce committee hearing</v>
      </c>
      <c r="J3" s="7" t="str">
        <f t="shared" ref="J3:J6" si="2">SUBSTITUTE(G3,"(LIVE)","")</f>
        <v>Contractor and Subcontractor Payments</v>
      </c>
      <c r="K3" s="7" t="str">
        <f t="shared" ref="K3:K6" si="3">SUBSTITUTE(H3,"(LIVE)","")</f>
        <v>PA House Commerce committee hearing</v>
      </c>
      <c r="L3" s="162"/>
      <c r="M3" t="str">
        <f t="shared" ref="M3:M6" si="4">SUBSTITUTE(J3,"(TODAY)","")</f>
        <v>Contractor and Subcontractor Payments</v>
      </c>
      <c r="N3" t="str">
        <f t="shared" ref="N3:N6" si="5">SUBSTITUTE(K3,"(Today)","")</f>
        <v>PA House Commerce committee hearing</v>
      </c>
      <c r="P3" t="str">
        <f t="shared" ref="P3:P6" si="6">SUBSTITUTE(N3,"(Monday)","")</f>
        <v>PA House Commerce committee hearing</v>
      </c>
      <c r="Q3" t="str">
        <f t="shared" ref="Q3:Q33" si="7">SUBSTITUTE(P3,"(Tuesday)","")</f>
        <v>PA House Commerce committee hearing</v>
      </c>
      <c r="R3" t="str">
        <f t="shared" ref="R3:R33" si="8">SUBSTITUTE(Q3,"(Wednesday)","")</f>
        <v>PA House Commerce committee hearing</v>
      </c>
      <c r="S3" t="str">
        <f t="shared" ref="S3:S33" si="9">SUBSTITUTE(R3,"(Thursday)","")</f>
        <v>PA House Commerce committee hearing</v>
      </c>
      <c r="T3" t="str">
        <f t="shared" ref="T3:T33" si="10">SUBSTITUTE(S3,"(Friday)","")</f>
        <v>PA House Commerce committee hearing</v>
      </c>
      <c r="U3" t="str">
        <f t="shared" ref="U3:U33" si="11">SUBSTITUTE(T3,"(Saturday)","")</f>
        <v>PA House Commerce committee hearing</v>
      </c>
      <c r="V3" t="str">
        <f t="shared" ref="V3:V33" si="12">SUBSTITUTE(U3,"(Sunday)","")</f>
        <v>PA House Commerce committee hearing</v>
      </c>
    </row>
    <row r="4" spans="1:22">
      <c r="A4" s="7" t="str">
        <f>SUBSTITUTE(Sheet2!B4,"\&amp;quot;","''")</f>
        <v>Medical Marijuana</v>
      </c>
      <c r="B4" s="7" t="str">
        <f>SUBSTITUTE(Sheet2!C4,"\&amp;quot;","''")</f>
        <v>PA House Health and Judiciary committees hearing</v>
      </c>
      <c r="D4" s="7" t="str">
        <f t="shared" si="0"/>
        <v>Medical Marijuana</v>
      </c>
      <c r="E4" s="7" t="str">
        <f t="shared" si="0"/>
        <v>PA House Health and Judiciary committees hearing</v>
      </c>
      <c r="G4" s="7" t="str">
        <f t="shared" si="1"/>
        <v>Medical Marijuana</v>
      </c>
      <c r="H4" s="7" t="str">
        <f t="shared" si="1"/>
        <v>PA House Health and Judiciary committees hearing</v>
      </c>
      <c r="J4" s="7" t="str">
        <f t="shared" si="2"/>
        <v>Medical Marijuana</v>
      </c>
      <c r="K4" s="7" t="str">
        <f t="shared" si="3"/>
        <v>PA House Health and Judiciary committees hearing</v>
      </c>
      <c r="L4" s="162"/>
      <c r="M4" t="str">
        <f t="shared" si="4"/>
        <v>Medical Marijuana</v>
      </c>
      <c r="N4" t="str">
        <f t="shared" si="5"/>
        <v>PA House Health and Judiciary committees hearing</v>
      </c>
      <c r="P4" t="str">
        <f t="shared" si="6"/>
        <v>PA House Health and Judiciary committees hearing</v>
      </c>
      <c r="Q4" t="str">
        <f t="shared" si="7"/>
        <v>PA House Health and Judiciary committees hearing</v>
      </c>
      <c r="R4" t="str">
        <f t="shared" si="8"/>
        <v>PA House Health and Judiciary committees hearing</v>
      </c>
      <c r="S4" t="str">
        <f t="shared" si="9"/>
        <v>PA House Health and Judiciary committees hearing</v>
      </c>
      <c r="T4" t="str">
        <f t="shared" si="10"/>
        <v>PA House Health and Judiciary committees hearing</v>
      </c>
      <c r="U4" t="str">
        <f t="shared" si="11"/>
        <v>PA House Health and Judiciary committees hearing</v>
      </c>
      <c r="V4" t="str">
        <f t="shared" si="12"/>
        <v>PA House Health and Judiciary committees hearing</v>
      </c>
    </row>
    <row r="5" spans="1:22">
      <c r="A5" s="7" t="str">
        <f>SUBSTITUTE(Sheet2!B5,"\&amp;quot;","''")</f>
        <v>Medical Marijuana</v>
      </c>
      <c r="B5" s="7" t="str">
        <f>SUBSTITUTE(Sheet2!C5,"\&amp;quot;","''")</f>
        <v>PA House Health and Judiciary committees hearing</v>
      </c>
      <c r="D5" s="7" t="str">
        <f t="shared" si="0"/>
        <v>Medical Marijuana</v>
      </c>
      <c r="E5" s="7" t="str">
        <f t="shared" si="0"/>
        <v>PA House Health and Judiciary committees hearing</v>
      </c>
      <c r="G5" s="7" t="str">
        <f t="shared" si="1"/>
        <v>Medical Marijuana</v>
      </c>
      <c r="H5" s="7" t="str">
        <f t="shared" si="1"/>
        <v>PA House Health and Judiciary committees hearing</v>
      </c>
      <c r="J5" s="7" t="str">
        <f t="shared" si="2"/>
        <v>Medical Marijuana</v>
      </c>
      <c r="K5" s="7" t="str">
        <f t="shared" si="3"/>
        <v>PA House Health and Judiciary committees hearing</v>
      </c>
      <c r="L5" s="162"/>
      <c r="M5" t="str">
        <f t="shared" si="4"/>
        <v>Medical Marijuana</v>
      </c>
      <c r="N5" t="str">
        <f t="shared" si="5"/>
        <v>PA House Health and Judiciary committees hearing</v>
      </c>
      <c r="P5" t="str">
        <f t="shared" si="6"/>
        <v>PA House Health and Judiciary committees hearing</v>
      </c>
      <c r="Q5" t="str">
        <f t="shared" si="7"/>
        <v>PA House Health and Judiciary committees hearing</v>
      </c>
      <c r="R5" t="str">
        <f t="shared" si="8"/>
        <v>PA House Health and Judiciary committees hearing</v>
      </c>
      <c r="S5" t="str">
        <f t="shared" si="9"/>
        <v>PA House Health and Judiciary committees hearing</v>
      </c>
      <c r="T5" t="str">
        <f t="shared" si="10"/>
        <v>PA House Health and Judiciary committees hearing</v>
      </c>
      <c r="U5" t="str">
        <f t="shared" si="11"/>
        <v>PA House Health and Judiciary committees hearing</v>
      </c>
      <c r="V5" t="str">
        <f t="shared" si="12"/>
        <v>PA House Health and Judiciary committees hearing</v>
      </c>
    </row>
    <row r="6" spans="1:22">
      <c r="A6" s="7" t="str">
        <f>SUBSTITUTE(Sheet2!B6,"\&amp;quot;","''")</f>
        <v>League of Women Voters of PA-Citizen Education Fund's Civic Leadership Award</v>
      </c>
      <c r="B6" s="7" t="str">
        <f>SUBSTITUTE(Sheet2!C6,"\&amp;quot;","''")</f>
        <v>League of Women Voters of PA-Citizen Education Fund honors former PA House of Representative and Senator Franklin Kury</v>
      </c>
      <c r="D6" s="7" t="str">
        <f t="shared" si="0"/>
        <v>League of Women Voters of PA-Citizen Education Fund's Civic Leadership Award</v>
      </c>
      <c r="E6" s="7" t="str">
        <f t="shared" si="0"/>
        <v>League of Women Voters of PA-Citizen Education Fund honors former PA House of Representative and Senator Franklin Kury</v>
      </c>
      <c r="G6" s="7" t="str">
        <f t="shared" si="1"/>
        <v>League of Women Voters of PA-Citizen Education Fund's Civic Leadership Award</v>
      </c>
      <c r="H6" s="7" t="str">
        <f t="shared" si="1"/>
        <v>League of Women Voters of PA-Citizen Education Fund honors former PA House of Representative and Senator Franklin Kury</v>
      </c>
      <c r="J6" s="7" t="str">
        <f t="shared" si="2"/>
        <v>League of Women Voters of PA-Citizen Education Fund's Civic Leadership Award</v>
      </c>
      <c r="K6" s="7" t="str">
        <f t="shared" si="3"/>
        <v>League of Women Voters of PA-Citizen Education Fund honors former PA House of Representative and Senator Franklin Kury</v>
      </c>
      <c r="L6" s="162"/>
      <c r="M6" t="str">
        <f t="shared" si="4"/>
        <v>League of Women Voters of PA-Citizen Education Fund's Civic Leadership Award</v>
      </c>
      <c r="N6" t="str">
        <f t="shared" si="5"/>
        <v>League of Women Voters of PA-Citizen Education Fund honors former PA House of Representative and Senator Franklin Kury</v>
      </c>
      <c r="P6" t="str">
        <f t="shared" si="6"/>
        <v>League of Women Voters of PA-Citizen Education Fund honors former PA House of Representative and Senator Franklin Kury</v>
      </c>
      <c r="Q6" t="str">
        <f t="shared" si="7"/>
        <v>League of Women Voters of PA-Citizen Education Fund honors former PA House of Representative and Senator Franklin Kury</v>
      </c>
      <c r="R6" t="str">
        <f t="shared" si="8"/>
        <v>League of Women Voters of PA-Citizen Education Fund honors former PA House of Representative and Senator Franklin Kury</v>
      </c>
      <c r="S6" t="str">
        <f t="shared" si="9"/>
        <v>League of Women Voters of PA-Citizen Education Fund honors former PA House of Representative and Senator Franklin Kury</v>
      </c>
      <c r="T6" t="str">
        <f t="shared" si="10"/>
        <v>League of Women Voters of PA-Citizen Education Fund honors former PA House of Representative and Senator Franklin Kury</v>
      </c>
      <c r="U6" t="str">
        <f t="shared" si="11"/>
        <v>League of Women Voters of PA-Citizen Education Fund honors former PA House of Representative and Senator Franklin Kury</v>
      </c>
      <c r="V6" t="str">
        <f t="shared" si="12"/>
        <v>League of Women Voters of PA-Citizen Education Fund honors former PA House of Representative and Senator Franklin Kury</v>
      </c>
    </row>
    <row r="7" spans="1:22">
      <c r="A7" s="7" t="str">
        <f>SUBSTITUTE(Sheet2!B7,"\&amp;quot;","''")</f>
        <v>Climate Impact on PA</v>
      </c>
      <c r="B7" s="7" t="str">
        <f>SUBSTITUTE(Sheet2!C7,"\&amp;quot;","''")</f>
        <v>Widener University School of Law forum with Ken Kimmell of Union of Concerned Scientists, as he discusses the latest in climate impact on PA</v>
      </c>
      <c r="D7" s="7" t="str">
        <f t="shared" ref="D7:D28" si="13">SUBSTITUTE(A7,"\&amp;#039;","'")</f>
        <v>Climate Impact on PA</v>
      </c>
      <c r="E7" s="7" t="str">
        <f t="shared" ref="E7:E28" si="14">SUBSTITUTE(B7,"\&amp;#039;","'")</f>
        <v>Widener University School of Law forum with Ken Kimmell of Union of Concerned Scientists, as he discusses the latest in climate impact on PA</v>
      </c>
      <c r="G7" s="7" t="str">
        <f t="shared" ref="G7:G30" si="15">SUBSTITUTE(D7,"&amp;amp;","&amp;")</f>
        <v>Climate Impact on PA</v>
      </c>
      <c r="H7" s="7" t="str">
        <f t="shared" ref="H7:H30" si="16">SUBSTITUTE(E7,"&amp;amp;","&amp;")</f>
        <v>Widener University School of Law forum with Ken Kimmell of Union of Concerned Scientists, as he discusses the latest in climate impact on PA</v>
      </c>
      <c r="J7" s="7" t="str">
        <f t="shared" ref="J7:J28" si="17">SUBSTITUTE(G7,"(LIVE)","")</f>
        <v>Climate Impact on PA</v>
      </c>
      <c r="K7" s="7" t="str">
        <f t="shared" ref="K7:K28" si="18">SUBSTITUTE(H7,"(LIVE)","")</f>
        <v>Widener University School of Law forum with Ken Kimmell of Union of Concerned Scientists, as he discusses the latest in climate impact on PA</v>
      </c>
      <c r="L7" s="162"/>
      <c r="M7" t="str">
        <f t="shared" ref="M7:M33" si="19">SUBSTITUTE(J7,"(TODAY)","")</f>
        <v>Climate Impact on PA</v>
      </c>
      <c r="N7" t="str">
        <f t="shared" ref="N7:N33" si="20">SUBSTITUTE(K7,"(Today)","")</f>
        <v>Widener University School of Law forum with Ken Kimmell of Union of Concerned Scientists, as he discusses the latest in climate impact on PA</v>
      </c>
      <c r="P7" t="str">
        <f t="shared" ref="P7:P33" si="21">SUBSTITUTE(N7,"(Monday)","")</f>
        <v>Widener University School of Law forum with Ken Kimmell of Union of Concerned Scientists, as he discusses the latest in climate impact on PA</v>
      </c>
      <c r="Q7" t="str">
        <f t="shared" si="7"/>
        <v>Widener University School of Law forum with Ken Kimmell of Union of Concerned Scientists, as he discusses the latest in climate impact on PA</v>
      </c>
      <c r="R7" t="str">
        <f t="shared" si="8"/>
        <v>Widener University School of Law forum with Ken Kimmell of Union of Concerned Scientists, as he discusses the latest in climate impact on PA</v>
      </c>
      <c r="S7" t="str">
        <f t="shared" si="9"/>
        <v>Widener University School of Law forum with Ken Kimmell of Union of Concerned Scientists, as he discusses the latest in climate impact on PA</v>
      </c>
      <c r="T7" t="str">
        <f t="shared" si="10"/>
        <v>Widener University School of Law forum with Ken Kimmell of Union of Concerned Scientists, as he discusses the latest in climate impact on PA</v>
      </c>
      <c r="U7" t="str">
        <f t="shared" si="11"/>
        <v>Widener University School of Law forum with Ken Kimmell of Union of Concerned Scientists, as he discusses the latest in climate impact on PA</v>
      </c>
      <c r="V7" t="str">
        <f t="shared" si="12"/>
        <v>Widener University School of Law forum with Ken Kimmell of Union of Concerned Scientists, as he discusses the latest in climate impact on PA</v>
      </c>
    </row>
    <row r="8" spans="1:22">
      <c r="A8" s="7" t="str">
        <f>SUBSTITUTE(Sheet2!B8,"\&amp;quot;","''")</f>
        <v>PA Supreme Court</v>
      </c>
      <c r="B8" s="7" t="str">
        <f>SUBSTITUTE(Sheet2!C8,"\&amp;quot;","''")</f>
        <v>Pittsburgh</v>
      </c>
      <c r="D8" s="7" t="str">
        <f t="shared" si="13"/>
        <v>PA Supreme Court</v>
      </c>
      <c r="E8" s="7" t="str">
        <f t="shared" si="14"/>
        <v>Pittsburgh</v>
      </c>
      <c r="G8" s="7" t="str">
        <f t="shared" si="15"/>
        <v>PA Supreme Court</v>
      </c>
      <c r="H8" s="7" t="str">
        <f t="shared" si="16"/>
        <v>Pittsburgh</v>
      </c>
      <c r="J8" s="7" t="str">
        <f t="shared" si="17"/>
        <v>PA Supreme Court</v>
      </c>
      <c r="K8" s="7" t="str">
        <f t="shared" si="18"/>
        <v>Pittsburgh</v>
      </c>
      <c r="L8" s="162"/>
      <c r="M8" t="str">
        <f t="shared" si="19"/>
        <v>PA Supreme Court</v>
      </c>
      <c r="N8" t="str">
        <f t="shared" si="20"/>
        <v>Pittsburgh</v>
      </c>
      <c r="P8" t="str">
        <f t="shared" si="21"/>
        <v>Pittsburgh</v>
      </c>
      <c r="Q8" t="str">
        <f t="shared" si="7"/>
        <v>Pittsburgh</v>
      </c>
      <c r="R8" t="str">
        <f t="shared" si="8"/>
        <v>Pittsburgh</v>
      </c>
      <c r="S8" t="str">
        <f t="shared" si="9"/>
        <v>Pittsburgh</v>
      </c>
      <c r="T8" t="str">
        <f t="shared" si="10"/>
        <v>Pittsburgh</v>
      </c>
      <c r="U8" t="str">
        <f t="shared" si="11"/>
        <v>Pittsburgh</v>
      </c>
      <c r="V8" t="str">
        <f t="shared" si="12"/>
        <v>Pittsburgh</v>
      </c>
    </row>
    <row r="9" spans="1:22">
      <c r="A9" s="7" t="str">
        <f>SUBSTITUTE(Sheet2!B9,"\&amp;quot;","''")</f>
        <v>PA Supreme Court</v>
      </c>
      <c r="B9" s="7" t="str">
        <f>SUBSTITUTE(Sheet2!C9,"\&amp;quot;","''")</f>
        <v>Pittsburgh</v>
      </c>
      <c r="D9" s="7" t="str">
        <f t="shared" si="13"/>
        <v>PA Supreme Court</v>
      </c>
      <c r="E9" s="7" t="str">
        <f t="shared" si="14"/>
        <v>Pittsburgh</v>
      </c>
      <c r="G9" s="7" t="str">
        <f t="shared" si="15"/>
        <v>PA Supreme Court</v>
      </c>
      <c r="H9" s="7" t="str">
        <f t="shared" si="16"/>
        <v>Pittsburgh</v>
      </c>
      <c r="J9" s="7" t="str">
        <f t="shared" si="17"/>
        <v>PA Supreme Court</v>
      </c>
      <c r="K9" s="7" t="str">
        <f t="shared" si="18"/>
        <v>Pittsburgh</v>
      </c>
      <c r="L9" s="162"/>
      <c r="M9" t="str">
        <f t="shared" si="19"/>
        <v>PA Supreme Court</v>
      </c>
      <c r="N9" t="str">
        <f t="shared" si="20"/>
        <v>Pittsburgh</v>
      </c>
      <c r="P9" t="str">
        <f t="shared" si="21"/>
        <v>Pittsburgh</v>
      </c>
      <c r="Q9" t="str">
        <f t="shared" si="7"/>
        <v>Pittsburgh</v>
      </c>
      <c r="R9" t="str">
        <f t="shared" si="8"/>
        <v>Pittsburgh</v>
      </c>
      <c r="S9" t="str">
        <f t="shared" si="9"/>
        <v>Pittsburgh</v>
      </c>
      <c r="T9" t="str">
        <f t="shared" si="10"/>
        <v>Pittsburgh</v>
      </c>
      <c r="U9" t="str">
        <f t="shared" si="11"/>
        <v>Pittsburgh</v>
      </c>
      <c r="V9" t="str">
        <f t="shared" si="12"/>
        <v>Pittsburgh</v>
      </c>
    </row>
    <row r="10" spans="1:22">
      <c r="A10" s="7" t="str">
        <f>SUBSTITUTE(Sheet2!B10,"\&amp;quot;","''")</f>
        <v>PA Public Utility Commission Meeting</v>
      </c>
      <c r="B10" s="7" t="str">
        <f>SUBSTITUTE(Sheet2!C10,"\&amp;quot;","''")</f>
        <v>Harrisburg</v>
      </c>
      <c r="D10" s="7" t="str">
        <f t="shared" si="13"/>
        <v>PA Public Utility Commission Meeting</v>
      </c>
      <c r="E10" s="7" t="str">
        <f t="shared" si="14"/>
        <v>Harrisburg</v>
      </c>
      <c r="G10" s="7" t="str">
        <f t="shared" si="15"/>
        <v>PA Public Utility Commission Meeting</v>
      </c>
      <c r="H10" s="7" t="str">
        <f t="shared" si="16"/>
        <v>Harrisburg</v>
      </c>
      <c r="J10" s="7" t="str">
        <f t="shared" si="17"/>
        <v>PA Public Utility Commission Meeting</v>
      </c>
      <c r="K10" s="7" t="str">
        <f t="shared" si="18"/>
        <v>Harrisburg</v>
      </c>
      <c r="L10" s="162"/>
      <c r="M10" t="str">
        <f t="shared" si="19"/>
        <v>PA Public Utility Commission Meeting</v>
      </c>
      <c r="N10" t="str">
        <f t="shared" si="20"/>
        <v>Harrisburg</v>
      </c>
      <c r="P10" t="str">
        <f t="shared" si="21"/>
        <v>Harrisburg</v>
      </c>
      <c r="Q10" t="str">
        <f t="shared" si="7"/>
        <v>Harrisburg</v>
      </c>
      <c r="R10" t="str">
        <f t="shared" si="8"/>
        <v>Harrisburg</v>
      </c>
      <c r="S10" t="str">
        <f t="shared" si="9"/>
        <v>Harrisburg</v>
      </c>
      <c r="T10" t="str">
        <f t="shared" si="10"/>
        <v>Harrisburg</v>
      </c>
      <c r="U10" t="str">
        <f t="shared" si="11"/>
        <v>Harrisburg</v>
      </c>
      <c r="V10" t="str">
        <f t="shared" si="12"/>
        <v>Harrisburg</v>
      </c>
    </row>
    <row r="11" spans="1:22">
      <c r="A11" s="7" t="str">
        <f>SUBSTITUTE(Sheet2!B11,"\&amp;quot;","''")</f>
        <v/>
      </c>
      <c r="B11" s="7" t="str">
        <f>SUBSTITUTE(Sheet2!C11,"\&amp;quot;","''")</f>
        <v/>
      </c>
      <c r="D11" s="7" t="str">
        <f t="shared" si="13"/>
        <v/>
      </c>
      <c r="E11" s="7" t="str">
        <f t="shared" si="14"/>
        <v/>
      </c>
      <c r="G11" s="7" t="str">
        <f t="shared" si="15"/>
        <v/>
      </c>
      <c r="H11" s="7" t="str">
        <f t="shared" si="16"/>
        <v/>
      </c>
      <c r="J11" s="7" t="str">
        <f t="shared" si="17"/>
        <v/>
      </c>
      <c r="K11" s="7" t="str">
        <f t="shared" si="18"/>
        <v/>
      </c>
      <c r="L11" s="162"/>
      <c r="M11" t="str">
        <f t="shared" si="19"/>
        <v/>
      </c>
      <c r="N11" t="str">
        <f t="shared" si="20"/>
        <v/>
      </c>
      <c r="P11" t="str">
        <f t="shared" si="21"/>
        <v/>
      </c>
      <c r="Q11" t="str">
        <f t="shared" si="7"/>
        <v/>
      </c>
      <c r="R11" t="str">
        <f t="shared" si="8"/>
        <v/>
      </c>
      <c r="S11" t="str">
        <f t="shared" si="9"/>
        <v/>
      </c>
      <c r="T11" t="str">
        <f t="shared" si="10"/>
        <v/>
      </c>
      <c r="U11" t="str">
        <f t="shared" si="11"/>
        <v/>
      </c>
      <c r="V11" t="str">
        <f t="shared" si="12"/>
        <v/>
      </c>
    </row>
    <row r="12" spans="1:22">
      <c r="A12" s="7" t="str">
        <f>SUBSTITUTE(Sheet2!B12,"\&amp;quot;","''")</f>
        <v/>
      </c>
      <c r="B12" s="7" t="str">
        <f>SUBSTITUTE(Sheet2!C12,"\&amp;quot;","''")</f>
        <v/>
      </c>
      <c r="D12" s="7" t="str">
        <f t="shared" si="13"/>
        <v/>
      </c>
      <c r="E12" s="7" t="str">
        <f t="shared" si="14"/>
        <v/>
      </c>
      <c r="G12" s="7" t="str">
        <f t="shared" si="15"/>
        <v/>
      </c>
      <c r="H12" s="7" t="str">
        <f t="shared" si="16"/>
        <v/>
      </c>
      <c r="J12" s="7" t="str">
        <f t="shared" si="17"/>
        <v/>
      </c>
      <c r="K12" s="7" t="str">
        <f t="shared" si="18"/>
        <v/>
      </c>
      <c r="L12" s="162"/>
      <c r="M12" t="str">
        <f t="shared" si="19"/>
        <v/>
      </c>
      <c r="N12" t="str">
        <f t="shared" si="20"/>
        <v/>
      </c>
      <c r="P12" t="str">
        <f t="shared" si="21"/>
        <v/>
      </c>
      <c r="Q12" t="str">
        <f t="shared" si="7"/>
        <v/>
      </c>
      <c r="R12" t="str">
        <f t="shared" si="8"/>
        <v/>
      </c>
      <c r="S12" t="str">
        <f t="shared" si="9"/>
        <v/>
      </c>
      <c r="T12" t="str">
        <f t="shared" si="10"/>
        <v/>
      </c>
      <c r="U12" t="str">
        <f t="shared" si="11"/>
        <v/>
      </c>
      <c r="V12" t="str">
        <f t="shared" si="12"/>
        <v/>
      </c>
    </row>
    <row r="13" spans="1:22">
      <c r="A13" s="7" t="str">
        <f>SUBSTITUTE(Sheet2!B13,"\&amp;quot;","''")</f>
        <v/>
      </c>
      <c r="B13" s="7" t="str">
        <f>SUBSTITUTE(Sheet2!C13,"\&amp;quot;","''")</f>
        <v/>
      </c>
      <c r="D13" s="7" t="str">
        <f t="shared" si="13"/>
        <v/>
      </c>
      <c r="E13" s="7" t="str">
        <f t="shared" si="14"/>
        <v/>
      </c>
      <c r="G13" s="7" t="str">
        <f t="shared" si="15"/>
        <v/>
      </c>
      <c r="H13" s="7" t="str">
        <f t="shared" si="16"/>
        <v/>
      </c>
      <c r="J13" s="7" t="str">
        <f t="shared" si="17"/>
        <v/>
      </c>
      <c r="K13" s="7" t="str">
        <f t="shared" si="18"/>
        <v/>
      </c>
      <c r="L13" s="162"/>
      <c r="M13" t="str">
        <f t="shared" si="19"/>
        <v/>
      </c>
      <c r="N13" t="str">
        <f t="shared" si="20"/>
        <v/>
      </c>
      <c r="P13" t="str">
        <f t="shared" si="21"/>
        <v/>
      </c>
      <c r="Q13" t="str">
        <f t="shared" si="7"/>
        <v/>
      </c>
      <c r="R13" t="str">
        <f t="shared" si="8"/>
        <v/>
      </c>
      <c r="S13" t="str">
        <f t="shared" si="9"/>
        <v/>
      </c>
      <c r="T13" t="str">
        <f t="shared" si="10"/>
        <v/>
      </c>
      <c r="U13" t="str">
        <f t="shared" si="11"/>
        <v/>
      </c>
      <c r="V13" t="str">
        <f t="shared" si="12"/>
        <v/>
      </c>
    </row>
    <row r="14" spans="1:22">
      <c r="A14" s="7" t="str">
        <f>SUBSTITUTE(Sheet2!B14,"\&amp;quot;","''")</f>
        <v/>
      </c>
      <c r="B14" s="7" t="str">
        <f>SUBSTITUTE(Sheet2!C14,"\&amp;quot;","''")</f>
        <v/>
      </c>
      <c r="D14" s="7" t="str">
        <f t="shared" si="13"/>
        <v/>
      </c>
      <c r="E14" s="7" t="str">
        <f t="shared" si="14"/>
        <v/>
      </c>
      <c r="G14" s="7" t="str">
        <f t="shared" si="15"/>
        <v/>
      </c>
      <c r="H14" s="7" t="str">
        <f t="shared" si="16"/>
        <v/>
      </c>
      <c r="J14" s="7" t="str">
        <f t="shared" si="17"/>
        <v/>
      </c>
      <c r="K14" s="7" t="str">
        <f t="shared" si="18"/>
        <v/>
      </c>
      <c r="L14" s="162"/>
      <c r="M14" t="str">
        <f t="shared" si="19"/>
        <v/>
      </c>
      <c r="N14" t="str">
        <f t="shared" si="20"/>
        <v/>
      </c>
      <c r="P14" t="str">
        <f t="shared" si="21"/>
        <v/>
      </c>
      <c r="Q14" t="str">
        <f t="shared" si="7"/>
        <v/>
      </c>
      <c r="R14" t="str">
        <f t="shared" si="8"/>
        <v/>
      </c>
      <c r="S14" t="str">
        <f t="shared" si="9"/>
        <v/>
      </c>
      <c r="T14" t="str">
        <f t="shared" si="10"/>
        <v/>
      </c>
      <c r="U14" t="str">
        <f t="shared" si="11"/>
        <v/>
      </c>
      <c r="V14" t="str">
        <f t="shared" si="12"/>
        <v/>
      </c>
    </row>
    <row r="15" spans="1:22">
      <c r="A15" s="7" t="str">
        <f>SUBSTITUTE(Sheet2!B15,"\&amp;quot;","''")</f>
        <v/>
      </c>
      <c r="B15" s="7" t="str">
        <f>SUBSTITUTE(Sheet2!C15,"\&amp;quot;","''")</f>
        <v/>
      </c>
      <c r="D15" s="7" t="str">
        <f t="shared" si="13"/>
        <v/>
      </c>
      <c r="E15" s="7" t="str">
        <f t="shared" si="14"/>
        <v/>
      </c>
      <c r="G15" s="7" t="str">
        <f t="shared" si="15"/>
        <v/>
      </c>
      <c r="H15" s="7" t="str">
        <f t="shared" si="16"/>
        <v/>
      </c>
      <c r="J15" s="7" t="str">
        <f t="shared" si="17"/>
        <v/>
      </c>
      <c r="K15" s="7" t="str">
        <f t="shared" si="18"/>
        <v/>
      </c>
      <c r="L15" s="162"/>
      <c r="M15" t="str">
        <f t="shared" si="19"/>
        <v/>
      </c>
      <c r="N15" t="str">
        <f t="shared" si="20"/>
        <v/>
      </c>
      <c r="P15" t="str">
        <f t="shared" si="21"/>
        <v/>
      </c>
      <c r="Q15" t="str">
        <f t="shared" si="7"/>
        <v/>
      </c>
      <c r="R15" t="str">
        <f t="shared" si="8"/>
        <v/>
      </c>
      <c r="S15" t="str">
        <f t="shared" si="9"/>
        <v/>
      </c>
      <c r="T15" t="str">
        <f t="shared" si="10"/>
        <v/>
      </c>
      <c r="U15" t="str">
        <f t="shared" si="11"/>
        <v/>
      </c>
      <c r="V15" t="str">
        <f t="shared" si="12"/>
        <v/>
      </c>
    </row>
    <row r="16" spans="1:22">
      <c r="A16" s="7" t="str">
        <f>SUBSTITUTE(Sheet2!B16,"\&amp;quot;","''")</f>
        <v/>
      </c>
      <c r="B16" s="7" t="str">
        <f>SUBSTITUTE(Sheet2!C16,"\&amp;quot;","''")</f>
        <v/>
      </c>
      <c r="D16" s="7" t="str">
        <f t="shared" si="13"/>
        <v/>
      </c>
      <c r="E16" s="7" t="str">
        <f t="shared" si="14"/>
        <v/>
      </c>
      <c r="G16" s="7" t="str">
        <f t="shared" si="15"/>
        <v/>
      </c>
      <c r="H16" s="7" t="str">
        <f t="shared" si="16"/>
        <v/>
      </c>
      <c r="J16" s="7" t="str">
        <f t="shared" si="17"/>
        <v/>
      </c>
      <c r="K16" s="7" t="str">
        <f t="shared" si="18"/>
        <v/>
      </c>
      <c r="L16" s="162"/>
      <c r="M16" t="str">
        <f t="shared" si="19"/>
        <v/>
      </c>
      <c r="N16" t="str">
        <f t="shared" si="20"/>
        <v/>
      </c>
      <c r="P16" t="str">
        <f t="shared" si="21"/>
        <v/>
      </c>
      <c r="Q16" t="str">
        <f t="shared" si="7"/>
        <v/>
      </c>
      <c r="R16" t="str">
        <f t="shared" si="8"/>
        <v/>
      </c>
      <c r="S16" t="str">
        <f t="shared" si="9"/>
        <v/>
      </c>
      <c r="T16" t="str">
        <f t="shared" si="10"/>
        <v/>
      </c>
      <c r="U16" t="str">
        <f t="shared" si="11"/>
        <v/>
      </c>
      <c r="V16" t="str">
        <f t="shared" si="12"/>
        <v/>
      </c>
    </row>
    <row r="17" spans="1:22">
      <c r="A17" s="7" t="str">
        <f>SUBSTITUTE(Sheet2!B17,"\&amp;quot;","''")</f>
        <v/>
      </c>
      <c r="B17" s="7" t="str">
        <f>SUBSTITUTE(Sheet2!C17,"\&amp;quot;","''")</f>
        <v/>
      </c>
      <c r="D17" s="7" t="str">
        <f t="shared" si="13"/>
        <v/>
      </c>
      <c r="E17" s="7" t="str">
        <f t="shared" si="14"/>
        <v/>
      </c>
      <c r="G17" s="7" t="str">
        <f t="shared" si="15"/>
        <v/>
      </c>
      <c r="H17" s="7" t="str">
        <f t="shared" si="16"/>
        <v/>
      </c>
      <c r="J17" s="7" t="str">
        <f t="shared" si="17"/>
        <v/>
      </c>
      <c r="K17" s="7" t="str">
        <f t="shared" si="18"/>
        <v/>
      </c>
      <c r="L17" s="162"/>
      <c r="M17" t="str">
        <f t="shared" si="19"/>
        <v/>
      </c>
      <c r="N17" t="str">
        <f t="shared" si="20"/>
        <v/>
      </c>
      <c r="P17" t="str">
        <f t="shared" si="21"/>
        <v/>
      </c>
      <c r="Q17" t="str">
        <f t="shared" si="7"/>
        <v/>
      </c>
      <c r="R17" t="str">
        <f t="shared" si="8"/>
        <v/>
      </c>
      <c r="S17" t="str">
        <f t="shared" si="9"/>
        <v/>
      </c>
      <c r="T17" t="str">
        <f t="shared" si="10"/>
        <v/>
      </c>
      <c r="U17" t="str">
        <f t="shared" si="11"/>
        <v/>
      </c>
      <c r="V17" t="str">
        <f t="shared" si="12"/>
        <v/>
      </c>
    </row>
    <row r="18" spans="1:22">
      <c r="A18" s="7" t="str">
        <f>SUBSTITUTE(Sheet2!B18,"\&amp;quot;","''")</f>
        <v/>
      </c>
      <c r="B18" s="7" t="str">
        <f>SUBSTITUTE(Sheet2!C18,"\&amp;quot;","''")</f>
        <v/>
      </c>
      <c r="D18" s="7" t="str">
        <f t="shared" si="13"/>
        <v/>
      </c>
      <c r="E18" s="7" t="str">
        <f t="shared" si="14"/>
        <v/>
      </c>
      <c r="G18" s="7" t="str">
        <f t="shared" si="15"/>
        <v/>
      </c>
      <c r="H18" s="7" t="str">
        <f t="shared" si="16"/>
        <v/>
      </c>
      <c r="J18" s="7" t="str">
        <f t="shared" si="17"/>
        <v/>
      </c>
      <c r="K18" s="7" t="str">
        <f t="shared" si="18"/>
        <v/>
      </c>
      <c r="L18" s="162"/>
      <c r="M18" t="str">
        <f t="shared" si="19"/>
        <v/>
      </c>
      <c r="N18" t="str">
        <f t="shared" si="20"/>
        <v/>
      </c>
      <c r="P18" t="str">
        <f t="shared" si="21"/>
        <v/>
      </c>
      <c r="Q18" t="str">
        <f t="shared" si="7"/>
        <v/>
      </c>
      <c r="R18" t="str">
        <f t="shared" si="8"/>
        <v/>
      </c>
      <c r="S18" t="str">
        <f t="shared" si="9"/>
        <v/>
      </c>
      <c r="T18" t="str">
        <f t="shared" si="10"/>
        <v/>
      </c>
      <c r="U18" t="str">
        <f t="shared" si="11"/>
        <v/>
      </c>
      <c r="V18" t="str">
        <f t="shared" si="12"/>
        <v/>
      </c>
    </row>
    <row r="19" spans="1:22">
      <c r="A19" s="7" t="str">
        <f>SUBSTITUTE(Sheet2!B19,"\&amp;quot;","''")</f>
        <v/>
      </c>
      <c r="B19" s="7" t="str">
        <f>SUBSTITUTE(Sheet2!C19,"\&amp;quot;","''")</f>
        <v/>
      </c>
      <c r="D19" s="7" t="str">
        <f t="shared" si="13"/>
        <v/>
      </c>
      <c r="E19" s="7" t="str">
        <f t="shared" si="14"/>
        <v/>
      </c>
      <c r="G19" s="7" t="str">
        <f t="shared" si="15"/>
        <v/>
      </c>
      <c r="H19" s="7" t="str">
        <f t="shared" si="16"/>
        <v/>
      </c>
      <c r="J19" s="7" t="str">
        <f t="shared" si="17"/>
        <v/>
      </c>
      <c r="K19" s="7" t="str">
        <f t="shared" si="18"/>
        <v/>
      </c>
      <c r="L19" s="162"/>
      <c r="M19" t="str">
        <f t="shared" si="19"/>
        <v/>
      </c>
      <c r="N19" t="str">
        <f t="shared" si="20"/>
        <v/>
      </c>
      <c r="P19" t="str">
        <f t="shared" si="21"/>
        <v/>
      </c>
      <c r="Q19" t="str">
        <f t="shared" si="7"/>
        <v/>
      </c>
      <c r="R19" t="str">
        <f t="shared" si="8"/>
        <v/>
      </c>
      <c r="S19" t="str">
        <f t="shared" si="9"/>
        <v/>
      </c>
      <c r="T19" t="str">
        <f t="shared" si="10"/>
        <v/>
      </c>
      <c r="U19" t="str">
        <f t="shared" si="11"/>
        <v/>
      </c>
      <c r="V19" t="str">
        <f t="shared" si="12"/>
        <v/>
      </c>
    </row>
    <row r="20" spans="1:22">
      <c r="A20" s="7" t="str">
        <f>SUBSTITUTE(Sheet2!B20,"\&amp;quot;","''")</f>
        <v/>
      </c>
      <c r="B20" s="7" t="str">
        <f>SUBSTITUTE(Sheet2!C20,"\&amp;quot;","''")</f>
        <v/>
      </c>
      <c r="D20" s="7" t="str">
        <f t="shared" si="13"/>
        <v/>
      </c>
      <c r="E20" s="7" t="str">
        <f t="shared" si="14"/>
        <v/>
      </c>
      <c r="G20" s="7" t="str">
        <f t="shared" si="15"/>
        <v/>
      </c>
      <c r="H20" s="7" t="str">
        <f t="shared" si="16"/>
        <v/>
      </c>
      <c r="J20" s="7" t="str">
        <f t="shared" si="17"/>
        <v/>
      </c>
      <c r="K20" s="7" t="str">
        <f t="shared" si="18"/>
        <v/>
      </c>
      <c r="L20" s="162"/>
      <c r="M20" t="str">
        <f t="shared" si="19"/>
        <v/>
      </c>
      <c r="N20" t="str">
        <f t="shared" si="20"/>
        <v/>
      </c>
      <c r="P20" t="str">
        <f t="shared" si="21"/>
        <v/>
      </c>
      <c r="Q20" t="str">
        <f t="shared" si="7"/>
        <v/>
      </c>
      <c r="R20" t="str">
        <f t="shared" si="8"/>
        <v/>
      </c>
      <c r="S20" t="str">
        <f t="shared" si="9"/>
        <v/>
      </c>
      <c r="T20" t="str">
        <f t="shared" si="10"/>
        <v/>
      </c>
      <c r="U20" t="str">
        <f t="shared" si="11"/>
        <v/>
      </c>
      <c r="V20" t="str">
        <f t="shared" si="12"/>
        <v/>
      </c>
    </row>
    <row r="21" spans="1:22">
      <c r="A21" s="7" t="str">
        <f>SUBSTITUTE(Sheet2!B21,"\&amp;quot;","''")</f>
        <v/>
      </c>
      <c r="B21" s="7" t="str">
        <f>SUBSTITUTE(Sheet2!C21,"\&amp;quot;","''")</f>
        <v/>
      </c>
      <c r="D21" s="7" t="str">
        <f t="shared" si="13"/>
        <v/>
      </c>
      <c r="E21" s="7" t="str">
        <f t="shared" si="14"/>
        <v/>
      </c>
      <c r="G21" s="7" t="str">
        <f t="shared" si="15"/>
        <v/>
      </c>
      <c r="H21" s="7" t="str">
        <f t="shared" si="16"/>
        <v/>
      </c>
      <c r="J21" s="7" t="str">
        <f t="shared" si="17"/>
        <v/>
      </c>
      <c r="K21" s="7" t="str">
        <f t="shared" si="18"/>
        <v/>
      </c>
      <c r="L21" s="162"/>
      <c r="M21" t="str">
        <f t="shared" si="19"/>
        <v/>
      </c>
      <c r="N21" t="str">
        <f t="shared" si="20"/>
        <v/>
      </c>
      <c r="P21" t="str">
        <f t="shared" si="21"/>
        <v/>
      </c>
      <c r="Q21" t="str">
        <f t="shared" si="7"/>
        <v/>
      </c>
      <c r="R21" t="str">
        <f t="shared" si="8"/>
        <v/>
      </c>
      <c r="S21" t="str">
        <f t="shared" si="9"/>
        <v/>
      </c>
      <c r="T21" t="str">
        <f t="shared" si="10"/>
        <v/>
      </c>
      <c r="U21" t="str">
        <f t="shared" si="11"/>
        <v/>
      </c>
      <c r="V21" t="str">
        <f t="shared" si="12"/>
        <v/>
      </c>
    </row>
    <row r="22" spans="1:22">
      <c r="A22" s="7" t="str">
        <f>SUBSTITUTE(Sheet2!B22,"\&amp;quot;","''")</f>
        <v/>
      </c>
      <c r="B22" s="7" t="str">
        <f>SUBSTITUTE(Sheet2!C22,"\&amp;quot;","''")</f>
        <v/>
      </c>
      <c r="D22" s="7" t="str">
        <f t="shared" si="13"/>
        <v/>
      </c>
      <c r="E22" s="7" t="str">
        <f t="shared" si="14"/>
        <v/>
      </c>
      <c r="G22" s="7" t="str">
        <f t="shared" si="15"/>
        <v/>
      </c>
      <c r="H22" s="7" t="str">
        <f t="shared" si="16"/>
        <v/>
      </c>
      <c r="J22" s="7" t="str">
        <f t="shared" si="17"/>
        <v/>
      </c>
      <c r="K22" s="7" t="str">
        <f t="shared" si="18"/>
        <v/>
      </c>
      <c r="L22" s="162"/>
      <c r="M22" t="str">
        <f t="shared" si="19"/>
        <v/>
      </c>
      <c r="N22" t="str">
        <f t="shared" si="20"/>
        <v/>
      </c>
      <c r="P22" t="str">
        <f t="shared" si="21"/>
        <v/>
      </c>
      <c r="Q22" t="str">
        <f t="shared" si="7"/>
        <v/>
      </c>
      <c r="R22" t="str">
        <f t="shared" si="8"/>
        <v/>
      </c>
      <c r="S22" t="str">
        <f t="shared" si="9"/>
        <v/>
      </c>
      <c r="T22" t="str">
        <f t="shared" si="10"/>
        <v/>
      </c>
      <c r="U22" t="str">
        <f t="shared" si="11"/>
        <v/>
      </c>
      <c r="V22" t="str">
        <f t="shared" si="12"/>
        <v/>
      </c>
    </row>
    <row r="23" spans="1:22">
      <c r="A23" s="7" t="str">
        <f>SUBSTITUTE(Sheet2!B23,"\&amp;quot;","''")</f>
        <v/>
      </c>
      <c r="B23" s="7" t="str">
        <f>SUBSTITUTE(Sheet2!C23,"\&amp;quot;","''")</f>
        <v/>
      </c>
      <c r="D23" s="7" t="str">
        <f t="shared" si="13"/>
        <v/>
      </c>
      <c r="E23" s="7" t="str">
        <f t="shared" si="14"/>
        <v/>
      </c>
      <c r="G23" s="7" t="str">
        <f t="shared" si="15"/>
        <v/>
      </c>
      <c r="H23" s="7" t="str">
        <f t="shared" si="16"/>
        <v/>
      </c>
      <c r="J23" s="7" t="str">
        <f t="shared" si="17"/>
        <v/>
      </c>
      <c r="K23" s="7" t="str">
        <f t="shared" si="18"/>
        <v/>
      </c>
      <c r="L23" s="162"/>
      <c r="M23" t="str">
        <f t="shared" si="19"/>
        <v/>
      </c>
      <c r="N23" t="str">
        <f t="shared" si="20"/>
        <v/>
      </c>
      <c r="P23" t="str">
        <f t="shared" si="21"/>
        <v/>
      </c>
      <c r="Q23" t="str">
        <f t="shared" si="7"/>
        <v/>
      </c>
      <c r="R23" t="str">
        <f t="shared" si="8"/>
        <v/>
      </c>
      <c r="S23" t="str">
        <f t="shared" si="9"/>
        <v/>
      </c>
      <c r="T23" t="str">
        <f t="shared" si="10"/>
        <v/>
      </c>
      <c r="U23" t="str">
        <f t="shared" si="11"/>
        <v/>
      </c>
      <c r="V23" t="str">
        <f t="shared" si="12"/>
        <v/>
      </c>
    </row>
    <row r="24" spans="1:22">
      <c r="A24" s="7" t="str">
        <f>SUBSTITUTE(Sheet2!B24,"\&amp;quot;","''")</f>
        <v/>
      </c>
      <c r="B24" s="7" t="str">
        <f>SUBSTITUTE(Sheet2!C24,"\&amp;quot;","''")</f>
        <v/>
      </c>
      <c r="D24" s="7" t="str">
        <f t="shared" si="13"/>
        <v/>
      </c>
      <c r="E24" s="7" t="str">
        <f t="shared" si="14"/>
        <v/>
      </c>
      <c r="G24" s="7" t="str">
        <f t="shared" si="15"/>
        <v/>
      </c>
      <c r="H24" s="7" t="str">
        <f t="shared" si="16"/>
        <v/>
      </c>
      <c r="J24" s="7" t="str">
        <f t="shared" si="17"/>
        <v/>
      </c>
      <c r="K24" s="7" t="str">
        <f t="shared" si="18"/>
        <v/>
      </c>
      <c r="L24" s="162"/>
      <c r="M24" t="str">
        <f t="shared" si="19"/>
        <v/>
      </c>
      <c r="N24" t="str">
        <f t="shared" si="20"/>
        <v/>
      </c>
      <c r="P24" t="str">
        <f t="shared" si="21"/>
        <v/>
      </c>
      <c r="Q24" t="str">
        <f t="shared" si="7"/>
        <v/>
      </c>
      <c r="R24" t="str">
        <f t="shared" si="8"/>
        <v/>
      </c>
      <c r="S24" t="str">
        <f t="shared" si="9"/>
        <v/>
      </c>
      <c r="T24" t="str">
        <f t="shared" si="10"/>
        <v/>
      </c>
      <c r="U24" t="str">
        <f t="shared" si="11"/>
        <v/>
      </c>
      <c r="V24" t="str">
        <f t="shared" si="12"/>
        <v/>
      </c>
    </row>
    <row r="25" spans="1:22">
      <c r="A25" s="7" t="str">
        <f>SUBSTITUTE(Sheet2!B25,"\&amp;quot;","''")</f>
        <v/>
      </c>
      <c r="B25" s="7" t="str">
        <f>SUBSTITUTE(Sheet2!C25,"\&amp;quot;","''")</f>
        <v/>
      </c>
      <c r="D25" s="7" t="str">
        <f t="shared" si="13"/>
        <v/>
      </c>
      <c r="E25" s="7" t="str">
        <f t="shared" si="14"/>
        <v/>
      </c>
      <c r="G25" s="7" t="str">
        <f t="shared" si="15"/>
        <v/>
      </c>
      <c r="H25" s="7" t="str">
        <f t="shared" si="16"/>
        <v/>
      </c>
      <c r="J25" s="7" t="str">
        <f t="shared" si="17"/>
        <v/>
      </c>
      <c r="K25" s="7" t="str">
        <f t="shared" si="18"/>
        <v/>
      </c>
      <c r="L25" s="162"/>
      <c r="M25" t="str">
        <f t="shared" si="19"/>
        <v/>
      </c>
      <c r="N25" t="str">
        <f t="shared" si="20"/>
        <v/>
      </c>
      <c r="P25" t="str">
        <f t="shared" si="21"/>
        <v/>
      </c>
      <c r="Q25" t="str">
        <f t="shared" si="7"/>
        <v/>
      </c>
      <c r="R25" t="str">
        <f t="shared" si="8"/>
        <v/>
      </c>
      <c r="S25" t="str">
        <f t="shared" si="9"/>
        <v/>
      </c>
      <c r="T25" t="str">
        <f t="shared" si="10"/>
        <v/>
      </c>
      <c r="U25" t="str">
        <f t="shared" si="11"/>
        <v/>
      </c>
      <c r="V25" t="str">
        <f t="shared" si="12"/>
        <v/>
      </c>
    </row>
    <row r="26" spans="1:22">
      <c r="A26" s="7" t="str">
        <f>SUBSTITUTE(Sheet2!B26,"\&amp;quot;","''")</f>
        <v/>
      </c>
      <c r="B26" s="7" t="str">
        <f>SUBSTITUTE(Sheet2!C26,"\&amp;quot;","''")</f>
        <v/>
      </c>
      <c r="D26" s="7" t="str">
        <f t="shared" si="13"/>
        <v/>
      </c>
      <c r="E26" s="7" t="str">
        <f t="shared" si="14"/>
        <v/>
      </c>
      <c r="G26" s="7" t="str">
        <f t="shared" si="15"/>
        <v/>
      </c>
      <c r="H26" s="7" t="str">
        <f t="shared" si="16"/>
        <v/>
      </c>
      <c r="J26" s="7" t="str">
        <f t="shared" si="17"/>
        <v/>
      </c>
      <c r="K26" s="7" t="str">
        <f t="shared" si="18"/>
        <v/>
      </c>
      <c r="L26" s="162"/>
      <c r="M26" t="str">
        <f t="shared" si="19"/>
        <v/>
      </c>
      <c r="N26" t="str">
        <f t="shared" si="20"/>
        <v/>
      </c>
      <c r="P26" t="str">
        <f t="shared" si="21"/>
        <v/>
      </c>
      <c r="Q26" t="str">
        <f t="shared" si="7"/>
        <v/>
      </c>
      <c r="R26" t="str">
        <f t="shared" si="8"/>
        <v/>
      </c>
      <c r="S26" t="str">
        <f t="shared" si="9"/>
        <v/>
      </c>
      <c r="T26" t="str">
        <f t="shared" si="10"/>
        <v/>
      </c>
      <c r="U26" t="str">
        <f t="shared" si="11"/>
        <v/>
      </c>
      <c r="V26" t="str">
        <f t="shared" si="12"/>
        <v/>
      </c>
    </row>
    <row r="27" spans="1:22">
      <c r="A27" s="7" t="str">
        <f>SUBSTITUTE(Sheet2!B27,"\&amp;quot;","''")</f>
        <v/>
      </c>
      <c r="B27" s="7" t="str">
        <f>SUBSTITUTE(Sheet2!C27,"\&amp;quot;","''")</f>
        <v/>
      </c>
      <c r="D27" s="7" t="str">
        <f t="shared" si="13"/>
        <v/>
      </c>
      <c r="E27" s="7" t="str">
        <f t="shared" si="14"/>
        <v/>
      </c>
      <c r="G27" s="7" t="str">
        <f t="shared" si="15"/>
        <v/>
      </c>
      <c r="H27" s="7" t="str">
        <f t="shared" si="16"/>
        <v/>
      </c>
      <c r="J27" s="7" t="str">
        <f t="shared" si="17"/>
        <v/>
      </c>
      <c r="K27" s="7" t="str">
        <f t="shared" si="18"/>
        <v/>
      </c>
      <c r="L27" s="162"/>
      <c r="M27" t="str">
        <f t="shared" si="19"/>
        <v/>
      </c>
      <c r="N27" t="str">
        <f t="shared" si="20"/>
        <v/>
      </c>
      <c r="P27" t="str">
        <f t="shared" si="21"/>
        <v/>
      </c>
      <c r="Q27" t="str">
        <f t="shared" si="7"/>
        <v/>
      </c>
      <c r="R27" t="str">
        <f t="shared" si="8"/>
        <v/>
      </c>
      <c r="S27" t="str">
        <f t="shared" si="9"/>
        <v/>
      </c>
      <c r="T27" t="str">
        <f t="shared" si="10"/>
        <v/>
      </c>
      <c r="U27" t="str">
        <f t="shared" si="11"/>
        <v/>
      </c>
      <c r="V27" t="str">
        <f t="shared" si="12"/>
        <v/>
      </c>
    </row>
    <row r="28" spans="1:22">
      <c r="A28" s="7" t="str">
        <f>SUBSTITUTE(Sheet2!B28,"\&amp;quot;","''")</f>
        <v/>
      </c>
      <c r="B28" s="7" t="str">
        <f>SUBSTITUTE(Sheet2!C28,"\&amp;quot;","''")</f>
        <v/>
      </c>
      <c r="D28" s="7" t="str">
        <f t="shared" si="13"/>
        <v/>
      </c>
      <c r="E28" s="7" t="str">
        <f t="shared" si="14"/>
        <v/>
      </c>
      <c r="G28" s="7" t="str">
        <f t="shared" si="15"/>
        <v/>
      </c>
      <c r="H28" s="7" t="str">
        <f t="shared" si="16"/>
        <v/>
      </c>
      <c r="J28" s="7" t="str">
        <f t="shared" si="17"/>
        <v/>
      </c>
      <c r="K28" s="7" t="str">
        <f t="shared" si="18"/>
        <v/>
      </c>
      <c r="L28" s="162"/>
      <c r="M28" t="str">
        <f t="shared" si="19"/>
        <v/>
      </c>
      <c r="N28" t="str">
        <f t="shared" si="20"/>
        <v/>
      </c>
      <c r="P28" t="str">
        <f t="shared" si="21"/>
        <v/>
      </c>
      <c r="Q28" t="str">
        <f t="shared" si="7"/>
        <v/>
      </c>
      <c r="R28" t="str">
        <f t="shared" si="8"/>
        <v/>
      </c>
      <c r="S28" t="str">
        <f t="shared" si="9"/>
        <v/>
      </c>
      <c r="T28" t="str">
        <f t="shared" si="10"/>
        <v/>
      </c>
      <c r="U28" t="str">
        <f t="shared" si="11"/>
        <v/>
      </c>
      <c r="V28" t="str">
        <f t="shared" si="12"/>
        <v/>
      </c>
    </row>
    <row r="29" spans="1:22">
      <c r="A29" s="7" t="str">
        <f>SUBSTITUTE(Sheet2!B29,"\&amp;quot;","''")</f>
        <v/>
      </c>
      <c r="B29" s="7" t="str">
        <f>SUBSTITUTE(Sheet2!C29,"\&amp;quot;","''")</f>
        <v/>
      </c>
      <c r="D29" s="7" t="str">
        <f t="shared" si="0"/>
        <v/>
      </c>
      <c r="E29" s="7" t="str">
        <f t="shared" si="0"/>
        <v/>
      </c>
      <c r="G29" s="7" t="str">
        <f t="shared" si="15"/>
        <v/>
      </c>
      <c r="H29" s="7" t="str">
        <f t="shared" si="16"/>
        <v/>
      </c>
      <c r="L29" s="162"/>
      <c r="M29" t="str">
        <f t="shared" si="19"/>
        <v/>
      </c>
      <c r="N29" t="str">
        <f t="shared" si="20"/>
        <v/>
      </c>
      <c r="P29" t="str">
        <f t="shared" si="21"/>
        <v/>
      </c>
      <c r="Q29" t="str">
        <f t="shared" si="7"/>
        <v/>
      </c>
      <c r="R29" t="str">
        <f t="shared" si="8"/>
        <v/>
      </c>
      <c r="S29" t="str">
        <f t="shared" si="9"/>
        <v/>
      </c>
      <c r="T29" t="str">
        <f t="shared" si="10"/>
        <v/>
      </c>
      <c r="U29" t="str">
        <f t="shared" si="11"/>
        <v/>
      </c>
      <c r="V29" t="str">
        <f t="shared" si="12"/>
        <v/>
      </c>
    </row>
    <row r="30" spans="1:22">
      <c r="A30" s="7" t="str">
        <f>SUBSTITUTE(Sheet2!B30,"\&amp;quot;","''")</f>
        <v/>
      </c>
      <c r="B30" s="7" t="str">
        <f>SUBSTITUTE(Sheet2!C30,"\&amp;quot;","''")</f>
        <v/>
      </c>
      <c r="D30" s="7" t="str">
        <f t="shared" si="0"/>
        <v/>
      </c>
      <c r="E30" s="7" t="str">
        <f t="shared" si="0"/>
        <v/>
      </c>
      <c r="G30" s="7" t="str">
        <f t="shared" si="15"/>
        <v/>
      </c>
      <c r="H30" s="7" t="str">
        <f t="shared" si="16"/>
        <v/>
      </c>
      <c r="L30" s="162"/>
      <c r="M30" t="str">
        <f t="shared" si="19"/>
        <v/>
      </c>
      <c r="N30" t="str">
        <f t="shared" si="20"/>
        <v/>
      </c>
      <c r="P30" t="str">
        <f t="shared" si="21"/>
        <v/>
      </c>
      <c r="Q30" t="str">
        <f t="shared" si="7"/>
        <v/>
      </c>
      <c r="R30" t="str">
        <f t="shared" si="8"/>
        <v/>
      </c>
      <c r="S30" t="str">
        <f t="shared" si="9"/>
        <v/>
      </c>
      <c r="T30" t="str">
        <f t="shared" si="10"/>
        <v/>
      </c>
      <c r="U30" t="str">
        <f t="shared" si="11"/>
        <v/>
      </c>
      <c r="V30" t="str">
        <f t="shared" si="12"/>
        <v/>
      </c>
    </row>
    <row r="31" spans="1:22">
      <c r="A31" s="7" t="str">
        <f>SUBSTITUTE(Sheet2!B31,"\&amp;quot;","''")</f>
        <v/>
      </c>
      <c r="B31" s="7" t="str">
        <f>SUBSTITUTE(Sheet2!C31,"\&amp;quot;","''")</f>
        <v/>
      </c>
      <c r="D31" s="7" t="str">
        <f t="shared" si="0"/>
        <v/>
      </c>
      <c r="E31" s="7" t="str">
        <f t="shared" si="0"/>
        <v/>
      </c>
      <c r="G31" s="7" t="str">
        <f t="shared" si="1"/>
        <v/>
      </c>
      <c r="H31" s="7" t="str">
        <f t="shared" si="1"/>
        <v/>
      </c>
      <c r="L31" s="162"/>
      <c r="M31" t="str">
        <f t="shared" si="19"/>
        <v/>
      </c>
      <c r="N31" t="str">
        <f t="shared" si="20"/>
        <v/>
      </c>
      <c r="P31" t="str">
        <f t="shared" si="21"/>
        <v/>
      </c>
      <c r="Q31" t="str">
        <f t="shared" si="7"/>
        <v/>
      </c>
      <c r="R31" t="str">
        <f t="shared" si="8"/>
        <v/>
      </c>
      <c r="S31" t="str">
        <f t="shared" si="9"/>
        <v/>
      </c>
      <c r="T31" t="str">
        <f t="shared" si="10"/>
        <v/>
      </c>
      <c r="U31" t="str">
        <f t="shared" si="11"/>
        <v/>
      </c>
      <c r="V31" t="str">
        <f t="shared" si="12"/>
        <v/>
      </c>
    </row>
    <row r="32" spans="1:22">
      <c r="A32" s="7" t="str">
        <f>SUBSTITUTE(Sheet2!B32,"\&amp;quot;","''")</f>
        <v/>
      </c>
      <c r="B32" s="7" t="str">
        <f>SUBSTITUTE(Sheet2!C32,"\&amp;quot;","''")</f>
        <v/>
      </c>
      <c r="D32" s="7" t="str">
        <f t="shared" si="0"/>
        <v/>
      </c>
      <c r="E32" s="7" t="str">
        <f t="shared" si="0"/>
        <v/>
      </c>
      <c r="G32" s="7" t="str">
        <f t="shared" si="1"/>
        <v/>
      </c>
      <c r="H32" s="7" t="str">
        <f t="shared" si="1"/>
        <v/>
      </c>
      <c r="L32" s="162"/>
      <c r="M32" t="str">
        <f t="shared" si="19"/>
        <v/>
      </c>
      <c r="N32" t="str">
        <f t="shared" si="20"/>
        <v/>
      </c>
      <c r="P32" t="str">
        <f t="shared" si="21"/>
        <v/>
      </c>
      <c r="Q32" t="str">
        <f t="shared" si="7"/>
        <v/>
      </c>
      <c r="R32" t="str">
        <f t="shared" si="8"/>
        <v/>
      </c>
      <c r="S32" t="str">
        <f t="shared" si="9"/>
        <v/>
      </c>
      <c r="T32" t="str">
        <f t="shared" si="10"/>
        <v/>
      </c>
      <c r="U32" t="str">
        <f t="shared" si="11"/>
        <v/>
      </c>
      <c r="V32" t="str">
        <f t="shared" si="12"/>
        <v/>
      </c>
    </row>
    <row r="33" spans="1:22">
      <c r="A33" s="7" t="str">
        <f>SUBSTITUTE(Sheet2!B33,"\&amp;quot;","''")</f>
        <v/>
      </c>
      <c r="B33" s="7" t="str">
        <f>SUBSTITUTE(Sheet2!C33,"\&amp;quot;","''")</f>
        <v/>
      </c>
      <c r="D33" s="7" t="str">
        <f t="shared" si="0"/>
        <v/>
      </c>
      <c r="E33" s="7" t="str">
        <f t="shared" si="0"/>
        <v/>
      </c>
      <c r="G33" s="7" t="str">
        <f t="shared" si="1"/>
        <v/>
      </c>
      <c r="H33" s="7" t="str">
        <f t="shared" si="1"/>
        <v/>
      </c>
      <c r="L33" s="162"/>
      <c r="M33" t="str">
        <f t="shared" si="19"/>
        <v/>
      </c>
      <c r="N33" t="str">
        <f t="shared" si="20"/>
        <v/>
      </c>
      <c r="P33" t="str">
        <f t="shared" si="21"/>
        <v/>
      </c>
      <c r="Q33" t="str">
        <f t="shared" si="7"/>
        <v/>
      </c>
      <c r="R33" t="str">
        <f t="shared" si="8"/>
        <v/>
      </c>
      <c r="S33" t="str">
        <f t="shared" si="9"/>
        <v/>
      </c>
      <c r="T33" t="str">
        <f t="shared" si="10"/>
        <v/>
      </c>
      <c r="U33" t="str">
        <f t="shared" si="11"/>
        <v/>
      </c>
      <c r="V33" t="str">
        <f t="shared" si="12"/>
        <v/>
      </c>
    </row>
    <row r="34" spans="1:22">
      <c r="A34" s="7" t="str">
        <f>SUBSTITUTE(Sheet2!B34,"\&amp;quot;","''")</f>
        <v/>
      </c>
      <c r="B34" s="7" t="str">
        <f>SUBSTITUTE(Sheet2!C34,"\&amp;quot;","''")</f>
        <v/>
      </c>
      <c r="D34" s="7" t="str">
        <f t="shared" si="0"/>
        <v/>
      </c>
      <c r="E34" s="7" t="str">
        <f t="shared" si="0"/>
        <v/>
      </c>
      <c r="G34" s="7" t="str">
        <f t="shared" si="1"/>
        <v/>
      </c>
      <c r="H34" s="7" t="str">
        <f t="shared" si="1"/>
        <v/>
      </c>
      <c r="L34" s="162"/>
    </row>
    <row r="35" spans="1:22">
      <c r="A35" s="7" t="str">
        <f>SUBSTITUTE(Sheet2!B35,"\&amp;quot;","''")</f>
        <v/>
      </c>
      <c r="B35" s="7" t="str">
        <f>SUBSTITUTE(Sheet2!C35,"\&amp;quot;","''")</f>
        <v/>
      </c>
      <c r="D35" s="7" t="str">
        <f t="shared" si="0"/>
        <v/>
      </c>
      <c r="E35" s="7" t="str">
        <f t="shared" si="0"/>
        <v/>
      </c>
      <c r="G35" s="7" t="str">
        <f t="shared" si="1"/>
        <v/>
      </c>
      <c r="H35" s="7" t="str">
        <f t="shared" si="1"/>
        <v/>
      </c>
      <c r="L35" s="162"/>
    </row>
    <row r="36" spans="1:22">
      <c r="A36" s="7" t="str">
        <f>SUBSTITUTE(Sheet2!B36,"\&amp;quot;","''")</f>
        <v/>
      </c>
      <c r="B36" s="7" t="str">
        <f>SUBSTITUTE(Sheet2!C36,"\&amp;quot;","''")</f>
        <v/>
      </c>
      <c r="D36" s="7" t="str">
        <f t="shared" si="0"/>
        <v/>
      </c>
      <c r="E36" s="7" t="str">
        <f t="shared" si="0"/>
        <v/>
      </c>
      <c r="G36" s="7" t="str">
        <f t="shared" si="1"/>
        <v/>
      </c>
      <c r="H36" s="7" t="str">
        <f t="shared" si="1"/>
        <v/>
      </c>
      <c r="L36" s="162"/>
    </row>
    <row r="37" spans="1:22">
      <c r="A37" s="7" t="str">
        <f>SUBSTITUTE(Sheet2!B37,"\&amp;quot;","''")</f>
        <v/>
      </c>
      <c r="B37" s="7" t="str">
        <f>SUBSTITUTE(Sheet2!C37,"\&amp;quot;","''")</f>
        <v/>
      </c>
      <c r="D37" s="7" t="str">
        <f t="shared" si="0"/>
        <v/>
      </c>
      <c r="E37" s="7" t="str">
        <f t="shared" si="0"/>
        <v/>
      </c>
      <c r="G37" s="7" t="str">
        <f t="shared" si="1"/>
        <v/>
      </c>
      <c r="H37" s="7" t="str">
        <f t="shared" si="1"/>
        <v/>
      </c>
    </row>
    <row r="38" spans="1:22">
      <c r="A38" s="7" t="str">
        <f>SUBSTITUTE(Sheet2!B38,"\&amp;quot;","''")</f>
        <v/>
      </c>
      <c r="B38" s="7" t="str">
        <f>SUBSTITUTE(Sheet2!C38,"\&amp;quot;","''")</f>
        <v/>
      </c>
      <c r="D38" s="7" t="str">
        <f t="shared" si="0"/>
        <v/>
      </c>
      <c r="E38" s="7" t="str">
        <f t="shared" si="0"/>
        <v/>
      </c>
      <c r="G38" s="7" t="str">
        <f t="shared" si="1"/>
        <v/>
      </c>
      <c r="H38" s="7" t="str">
        <f t="shared" si="1"/>
        <v/>
      </c>
    </row>
    <row r="39" spans="1:22">
      <c r="A39" s="7" t="str">
        <f>SUBSTITUTE(Sheet2!B39,"\&amp;quot;","''")</f>
        <v/>
      </c>
      <c r="B39" s="7" t="str">
        <f>SUBSTITUTE(Sheet2!C39,"\&amp;quot;","''")</f>
        <v/>
      </c>
      <c r="D39" s="7" t="str">
        <f t="shared" si="0"/>
        <v/>
      </c>
      <c r="E39" s="7" t="str">
        <f t="shared" si="0"/>
        <v/>
      </c>
      <c r="G39" s="7" t="str">
        <f t="shared" si="1"/>
        <v/>
      </c>
      <c r="H39" s="7" t="str">
        <f t="shared" si="1"/>
        <v/>
      </c>
    </row>
    <row r="40" spans="1:22">
      <c r="A40" s="7" t="str">
        <f>SUBSTITUTE(Sheet2!B40,"\&amp;quot;","''")</f>
        <v/>
      </c>
      <c r="B40" s="7" t="str">
        <f>SUBSTITUTE(Sheet2!C40,"\&amp;quot;","''")</f>
        <v/>
      </c>
      <c r="D40" s="7" t="str">
        <f t="shared" si="0"/>
        <v/>
      </c>
      <c r="E40" s="7" t="str">
        <f t="shared" si="0"/>
        <v/>
      </c>
      <c r="G40" s="7" t="str">
        <f t="shared" si="1"/>
        <v/>
      </c>
      <c r="H40" s="7" t="str">
        <f t="shared" si="1"/>
        <v/>
      </c>
    </row>
    <row r="41" spans="1:22">
      <c r="A41" s="7" t="str">
        <f>SUBSTITUTE(Sheet2!B41,"\&amp;quot;","''")</f>
        <v/>
      </c>
      <c r="B41" s="7" t="str">
        <f>SUBSTITUTE(Sheet2!C41,"\&amp;quot;","''")</f>
        <v/>
      </c>
      <c r="D41" s="7" t="str">
        <f t="shared" si="0"/>
        <v/>
      </c>
      <c r="E41" s="7" t="str">
        <f t="shared" si="0"/>
        <v/>
      </c>
      <c r="G41" s="7" t="str">
        <f t="shared" si="1"/>
        <v/>
      </c>
      <c r="H41" s="7" t="str">
        <f t="shared" si="1"/>
        <v/>
      </c>
    </row>
    <row r="42" spans="1:22">
      <c r="A42" s="7" t="str">
        <f>SUBSTITUTE(Sheet2!B42,"\&amp;quot;","''")</f>
        <v/>
      </c>
      <c r="B42" s="7" t="str">
        <f>SUBSTITUTE(Sheet2!C42,"\&amp;quot;","''")</f>
        <v/>
      </c>
      <c r="D42" s="7" t="str">
        <f t="shared" si="0"/>
        <v/>
      </c>
      <c r="E42" s="7" t="str">
        <f t="shared" si="0"/>
        <v/>
      </c>
      <c r="G42" s="7" t="str">
        <f t="shared" si="1"/>
        <v/>
      </c>
      <c r="H42" s="7" t="str">
        <f t="shared" si="1"/>
        <v/>
      </c>
    </row>
    <row r="43" spans="1:22">
      <c r="A43" s="7" t="str">
        <f>SUBSTITUTE(Sheet2!B43,"\&amp;quot;","''")</f>
        <v/>
      </c>
      <c r="B43" s="7" t="str">
        <f>SUBSTITUTE(Sheet2!C43,"\&amp;quot;","''")</f>
        <v/>
      </c>
      <c r="D43" s="7" t="str">
        <f t="shared" si="0"/>
        <v/>
      </c>
      <c r="E43" s="7" t="str">
        <f t="shared" si="0"/>
        <v/>
      </c>
      <c r="G43" s="7" t="str">
        <f t="shared" si="1"/>
        <v/>
      </c>
      <c r="H43" s="7" t="str">
        <f t="shared" si="1"/>
        <v/>
      </c>
    </row>
    <row r="44" spans="1:22">
      <c r="A44" s="7" t="str">
        <f>SUBSTITUTE(Sheet2!B44,"\&amp;quot;","''")</f>
        <v/>
      </c>
      <c r="B44" s="7" t="str">
        <f>SUBSTITUTE(Sheet2!C44,"\&amp;quot;","''")</f>
        <v/>
      </c>
      <c r="D44" s="7" t="str">
        <f t="shared" si="0"/>
        <v/>
      </c>
      <c r="E44" s="7" t="str">
        <f t="shared" si="0"/>
        <v/>
      </c>
      <c r="G44" s="7" t="str">
        <f t="shared" si="1"/>
        <v/>
      </c>
      <c r="H44" s="7" t="str">
        <f t="shared" si="1"/>
        <v/>
      </c>
    </row>
    <row r="45" spans="1:22">
      <c r="A45" s="7" t="str">
        <f>SUBSTITUTE(Sheet2!B45,"\&amp;quot;","''")</f>
        <v/>
      </c>
      <c r="B45" s="7" t="str">
        <f>SUBSTITUTE(Sheet2!C45,"\&amp;quot;","''")</f>
        <v/>
      </c>
      <c r="D45" s="7" t="str">
        <f t="shared" si="0"/>
        <v/>
      </c>
      <c r="E45" s="7" t="str">
        <f t="shared" si="0"/>
        <v/>
      </c>
      <c r="G45" s="7" t="str">
        <f t="shared" si="1"/>
        <v/>
      </c>
      <c r="H45" s="7" t="str">
        <f t="shared" si="1"/>
        <v/>
      </c>
    </row>
    <row r="46" spans="1:22">
      <c r="A46" s="7" t="str">
        <f>SUBSTITUTE(Sheet2!B46,"\&amp;quot;","''")</f>
        <v/>
      </c>
      <c r="B46" s="7" t="str">
        <f>SUBSTITUTE(Sheet2!C46,"\&amp;quot;","''")</f>
        <v/>
      </c>
      <c r="D46" s="7" t="str">
        <f t="shared" si="0"/>
        <v/>
      </c>
      <c r="E46" s="7" t="str">
        <f t="shared" si="0"/>
        <v/>
      </c>
      <c r="G46" s="7" t="str">
        <f t="shared" si="1"/>
        <v/>
      </c>
      <c r="H46" s="7" t="str">
        <f t="shared" si="1"/>
        <v/>
      </c>
    </row>
    <row r="47" spans="1:22">
      <c r="A47" s="7" t="str">
        <f>SUBSTITUTE(Sheet2!B47,"\&amp;quot;","''")</f>
        <v/>
      </c>
      <c r="B47" s="7" t="str">
        <f>SUBSTITUTE(Sheet2!C47,"\&amp;quot;","''")</f>
        <v/>
      </c>
      <c r="D47" s="7" t="str">
        <f t="shared" si="0"/>
        <v/>
      </c>
      <c r="E47" s="7" t="str">
        <f t="shared" si="0"/>
        <v/>
      </c>
      <c r="G47" s="7" t="str">
        <f t="shared" si="1"/>
        <v/>
      </c>
      <c r="H47" s="7" t="str">
        <f t="shared" si="1"/>
        <v/>
      </c>
    </row>
    <row r="48" spans="1:22">
      <c r="A48" s="7" t="str">
        <f>SUBSTITUTE(Sheet2!B48,"\&amp;quot;","''")</f>
        <v/>
      </c>
      <c r="B48" s="7" t="str">
        <f>SUBSTITUTE(Sheet2!C48,"\&amp;quot;","''")</f>
        <v/>
      </c>
      <c r="D48" s="7" t="str">
        <f t="shared" si="0"/>
        <v/>
      </c>
      <c r="E48" s="7" t="str">
        <f t="shared" si="0"/>
        <v/>
      </c>
      <c r="G48" s="7" t="str">
        <f t="shared" si="1"/>
        <v/>
      </c>
      <c r="H48" s="7" t="str">
        <f t="shared" si="1"/>
        <v/>
      </c>
    </row>
    <row r="49" spans="1:8">
      <c r="A49" s="7" t="str">
        <f>SUBSTITUTE(Sheet2!B49,"\&amp;quot;","''")</f>
        <v/>
      </c>
      <c r="B49" s="7" t="str">
        <f>SUBSTITUTE(Sheet2!C49,"\&amp;quot;","''")</f>
        <v/>
      </c>
      <c r="D49" s="7" t="str">
        <f t="shared" si="0"/>
        <v/>
      </c>
      <c r="G49" s="7" t="str">
        <f t="shared" si="1"/>
        <v/>
      </c>
      <c r="H49" s="7" t="str">
        <f t="shared" si="1"/>
        <v/>
      </c>
    </row>
    <row r="50" spans="1:8">
      <c r="A50" s="7" t="str">
        <f>SUBSTITUTE(PasteHere!B50,"\&amp;quot;","''")</f>
        <v/>
      </c>
      <c r="B50" s="7" t="str">
        <f>SUBSTITUTE(Sheet2!C50,"\&amp;quot;","''")</f>
        <v/>
      </c>
      <c r="D50" s="7" t="str">
        <f t="shared" si="0"/>
        <v/>
      </c>
      <c r="G50" s="7" t="str">
        <f t="shared" si="1"/>
        <v/>
      </c>
      <c r="H50" s="7" t="str">
        <f t="shared" si="1"/>
        <v/>
      </c>
    </row>
    <row r="51" spans="1:8">
      <c r="A51" s="7" t="str">
        <f>SUBSTITUTE(PasteHere!B51,"\&amp;quot;","''")</f>
        <v/>
      </c>
      <c r="B51" s="7" t="str">
        <f>SUBSTITUTE(PasteHere!C51,"\&amp;quot;","''")</f>
        <v/>
      </c>
      <c r="D51" s="7" t="str">
        <f t="shared" si="0"/>
        <v/>
      </c>
      <c r="G51" s="7" t="str">
        <f t="shared" si="1"/>
        <v/>
      </c>
      <c r="H51" s="7" t="str">
        <f t="shared" si="1"/>
        <v/>
      </c>
    </row>
    <row r="52" spans="1:8">
      <c r="A52" s="7" t="str">
        <f>SUBSTITUTE(PasteHere!B52,"\&amp;quot;","''")</f>
        <v/>
      </c>
      <c r="B52" s="7" t="str">
        <f>SUBSTITUTE(PasteHere!C52,"\&amp;quot;","''")</f>
        <v/>
      </c>
      <c r="D52" s="7" t="str">
        <f t="shared" si="0"/>
        <v/>
      </c>
      <c r="G52" s="7" t="str">
        <f t="shared" si="1"/>
        <v/>
      </c>
      <c r="H52" s="7" t="str">
        <f t="shared" si="1"/>
        <v/>
      </c>
    </row>
    <row r="53" spans="1:8">
      <c r="A53" s="7" t="str">
        <f>SUBSTITUTE(PasteHere!B53,"\&amp;quot;","''")</f>
        <v/>
      </c>
      <c r="B53" s="7" t="str">
        <f>SUBSTITUTE(PasteHere!C53,"\&amp;quot;","''")</f>
        <v/>
      </c>
      <c r="D53" s="7" t="str">
        <f t="shared" si="0"/>
        <v/>
      </c>
      <c r="G53" s="7" t="str">
        <f t="shared" si="1"/>
        <v/>
      </c>
      <c r="H53" s="7" t="str">
        <f t="shared" si="1"/>
        <v/>
      </c>
    </row>
    <row r="54" spans="1:8">
      <c r="A54" s="7" t="str">
        <f>SUBSTITUTE(PasteHere!B54,"\&amp;quot;","''")</f>
        <v/>
      </c>
      <c r="B54" s="7" t="str">
        <f>SUBSTITUTE(PasteHere!C54,"\&amp;quot;","''")</f>
        <v/>
      </c>
      <c r="D54" s="7" t="str">
        <f t="shared" si="0"/>
        <v/>
      </c>
      <c r="G54" s="7" t="str">
        <f t="shared" si="1"/>
        <v/>
      </c>
      <c r="H54" s="7" t="str">
        <f t="shared" si="1"/>
        <v/>
      </c>
    </row>
    <row r="55" spans="1:8">
      <c r="A55" s="7" t="str">
        <f>SUBSTITUTE(PasteHere!B55,"\&amp;quot;","''")</f>
        <v/>
      </c>
      <c r="B55" s="7" t="str">
        <f>SUBSTITUTE(PasteHere!C55,"\&amp;quot;","''")</f>
        <v/>
      </c>
      <c r="D55" s="7" t="str">
        <f t="shared" si="0"/>
        <v/>
      </c>
      <c r="G55" s="7" t="str">
        <f t="shared" si="1"/>
        <v/>
      </c>
      <c r="H55" s="7" t="str">
        <f t="shared" si="1"/>
        <v/>
      </c>
    </row>
    <row r="56" spans="1:8">
      <c r="A56" s="7" t="str">
        <f>SUBSTITUTE(PasteHere!B56,"\&amp;quot;","''")</f>
        <v/>
      </c>
      <c r="B56" s="7" t="str">
        <f>SUBSTITUTE(PasteHere!C56,"\&amp;quot;","''")</f>
        <v/>
      </c>
      <c r="D56" s="7" t="str">
        <f t="shared" si="0"/>
        <v/>
      </c>
      <c r="G56" s="7" t="str">
        <f t="shared" si="1"/>
        <v/>
      </c>
      <c r="H56" s="7" t="str">
        <f t="shared" si="1"/>
        <v/>
      </c>
    </row>
    <row r="57" spans="1:8">
      <c r="A57" s="7" t="str">
        <f>SUBSTITUTE(PasteHere!B57,"\&amp;quot;","''")</f>
        <v/>
      </c>
      <c r="B57" s="7" t="str">
        <f>SUBSTITUTE(PasteHere!C57,"\&amp;quot;","''")</f>
        <v/>
      </c>
      <c r="D57" s="7" t="str">
        <f t="shared" si="0"/>
        <v/>
      </c>
      <c r="G57" s="7" t="str">
        <f t="shared" si="1"/>
        <v/>
      </c>
      <c r="H57" s="7" t="str">
        <f t="shared" si="1"/>
        <v/>
      </c>
    </row>
    <row r="58" spans="1:8">
      <c r="A58" s="7" t="str">
        <f>SUBSTITUTE(PasteHere!B58,"\&amp;quot;","''")</f>
        <v/>
      </c>
      <c r="B58" s="7" t="str">
        <f>SUBSTITUTE(PasteHere!C58,"\&amp;quot;","''")</f>
        <v/>
      </c>
      <c r="D58" s="7" t="str">
        <f t="shared" si="0"/>
        <v/>
      </c>
      <c r="G58" s="7" t="str">
        <f t="shared" si="1"/>
        <v/>
      </c>
    </row>
    <row r="59" spans="1:8">
      <c r="A59" s="7" t="str">
        <f>SUBSTITUTE(PasteHere!B59,"\&amp;quot;","''")</f>
        <v/>
      </c>
      <c r="B59" s="7" t="str">
        <f>SUBSTITUTE(PasteHere!C59,"\&amp;quot;","''")</f>
        <v/>
      </c>
      <c r="D59" s="7" t="str">
        <f t="shared" si="0"/>
        <v/>
      </c>
      <c r="G59" s="7" t="str">
        <f t="shared" si="1"/>
        <v/>
      </c>
    </row>
    <row r="60" spans="1:8">
      <c r="A60" s="7" t="str">
        <f>SUBSTITUTE(PasteHere!B60,"\&amp;quot;","''")</f>
        <v/>
      </c>
      <c r="B60" s="7" t="str">
        <f>SUBSTITUTE(PasteHere!C60,"\&amp;quot;","''")</f>
        <v/>
      </c>
      <c r="D60" s="7" t="str">
        <f t="shared" si="0"/>
        <v/>
      </c>
      <c r="G60" s="7" t="str">
        <f t="shared" si="1"/>
        <v/>
      </c>
    </row>
    <row r="61" spans="1:8">
      <c r="A61" s="7" t="str">
        <f>SUBSTITUTE(PasteHere!B61,"\&amp;quot;","''")</f>
        <v/>
      </c>
      <c r="B61" s="7" t="str">
        <f>SUBSTITUTE(PasteHere!C61,"\&amp;quot;","''")</f>
        <v/>
      </c>
      <c r="D61" s="7" t="str">
        <f t="shared" si="0"/>
        <v/>
      </c>
      <c r="G61" s="7" t="str">
        <f t="shared" si="1"/>
        <v/>
      </c>
    </row>
    <row r="62" spans="1:8">
      <c r="A62" s="7" t="str">
        <f>SUBSTITUTE(PasteHere!B62,"\&amp;quot;","''")</f>
        <v/>
      </c>
      <c r="B62" s="7" t="str">
        <f>SUBSTITUTE(PasteHere!C62,"\&amp;quot;","''")</f>
        <v/>
      </c>
      <c r="D62" s="7" t="str">
        <f t="shared" si="0"/>
        <v/>
      </c>
      <c r="G62" s="7" t="str">
        <f t="shared" si="1"/>
        <v/>
      </c>
    </row>
    <row r="63" spans="1:8">
      <c r="A63" s="7" t="str">
        <f>SUBSTITUTE(PasteHere!B63,"\&amp;quot;","''")</f>
        <v/>
      </c>
      <c r="B63" s="7" t="str">
        <f>SUBSTITUTE(PasteHere!C63,"\&amp;quot;","''")</f>
        <v/>
      </c>
      <c r="D63" s="7" t="str">
        <f t="shared" si="0"/>
        <v/>
      </c>
      <c r="G63" s="7" t="str">
        <f t="shared" si="1"/>
        <v/>
      </c>
    </row>
    <row r="64" spans="1:8">
      <c r="A64" s="7" t="str">
        <f>SUBSTITUTE(PasteHere!B64,"\&amp;quot;","''")</f>
        <v/>
      </c>
      <c r="B64" s="7" t="str">
        <f>SUBSTITUTE(PasteHere!C64,"\&amp;quot;","''")</f>
        <v/>
      </c>
      <c r="D64" s="7" t="str">
        <f t="shared" si="0"/>
        <v/>
      </c>
      <c r="G64" s="7" t="str">
        <f t="shared" si="1"/>
        <v/>
      </c>
    </row>
    <row r="65" spans="1:7">
      <c r="A65" s="7" t="str">
        <f>SUBSTITUTE(PasteHere!B65,"\&amp;quot;","''")</f>
        <v/>
      </c>
      <c r="B65" s="7" t="str">
        <f>SUBSTITUTE(PasteHere!C65,"\&amp;quot;","''")</f>
        <v/>
      </c>
      <c r="D65" s="7" t="str">
        <f t="shared" si="0"/>
        <v/>
      </c>
      <c r="G65" s="7" t="str">
        <f t="shared" si="1"/>
        <v/>
      </c>
    </row>
    <row r="66" spans="1:7">
      <c r="A66" s="7" t="str">
        <f>SUBSTITUTE(PasteHere!B66,"\&amp;quot;","''")</f>
        <v/>
      </c>
      <c r="B66" s="7" t="str">
        <f>SUBSTITUTE(PasteHere!C66,"\&amp;quot;","''")</f>
        <v/>
      </c>
      <c r="D66" s="7" t="str">
        <f t="shared" si="0"/>
        <v/>
      </c>
      <c r="G66" s="7" t="str">
        <f t="shared" si="1"/>
        <v/>
      </c>
    </row>
    <row r="67" spans="1:7">
      <c r="A67" s="7" t="str">
        <f>SUBSTITUTE(PasteHere!B67,"\&amp;quot;","''")</f>
        <v/>
      </c>
      <c r="B67" s="7" t="str">
        <f>SUBSTITUTE(PasteHere!C67,"\&amp;quot;","''")</f>
        <v/>
      </c>
      <c r="D67" s="7" t="str">
        <f t="shared" ref="D67:D98" si="22">SUBSTITUTE(A67,"\&amp;#039;","'")</f>
        <v/>
      </c>
    </row>
    <row r="68" spans="1:7">
      <c r="A68" s="7" t="str">
        <f>SUBSTITUTE(PasteHere!B68,"\&amp;quot;","''")</f>
        <v/>
      </c>
      <c r="B68" s="7" t="str">
        <f>SUBSTITUTE(PasteHere!C68,"\&amp;quot;","''")</f>
        <v/>
      </c>
      <c r="D68" s="7" t="str">
        <f t="shared" si="22"/>
        <v/>
      </c>
    </row>
    <row r="69" spans="1:7">
      <c r="A69" s="7" t="str">
        <f>SUBSTITUTE(PasteHere!B69,"\&amp;quot;","''")</f>
        <v/>
      </c>
      <c r="B69" s="7" t="str">
        <f>SUBSTITUTE(PasteHere!C69,"\&amp;quot;","''")</f>
        <v/>
      </c>
      <c r="D69" s="7" t="str">
        <f t="shared" si="22"/>
        <v/>
      </c>
    </row>
    <row r="70" spans="1:7">
      <c r="A70" s="7" t="str">
        <f>SUBSTITUTE(PasteHere!B70,"\&amp;quot;","''")</f>
        <v/>
      </c>
      <c r="B70" s="7" t="str">
        <f>SUBSTITUTE(PasteHere!C70,"\&amp;quot;","''")</f>
        <v/>
      </c>
      <c r="D70" s="7" t="str">
        <f t="shared" si="22"/>
        <v/>
      </c>
    </row>
    <row r="71" spans="1:7">
      <c r="A71" s="7" t="str">
        <f>SUBSTITUTE(PasteHere!B71,"\&amp;quot;","''")</f>
        <v/>
      </c>
      <c r="B71" s="7" t="str">
        <f>SUBSTITUTE(PasteHere!C71,"\&amp;quot;","''")</f>
        <v/>
      </c>
      <c r="D71" s="7" t="str">
        <f t="shared" si="22"/>
        <v/>
      </c>
    </row>
    <row r="72" spans="1:7">
      <c r="A72" s="7" t="str">
        <f>SUBSTITUTE(PasteHere!B72,"\&amp;quot;","''")</f>
        <v/>
      </c>
      <c r="B72" s="7" t="str">
        <f>SUBSTITUTE(PasteHere!C72,"\&amp;quot;","''")</f>
        <v/>
      </c>
      <c r="D72" s="7" t="str">
        <f t="shared" si="22"/>
        <v/>
      </c>
    </row>
    <row r="73" spans="1:7">
      <c r="A73" s="7" t="str">
        <f>SUBSTITUTE(PasteHere!B73,"\&amp;quot;","''")</f>
        <v/>
      </c>
      <c r="B73" s="7" t="str">
        <f>SUBSTITUTE(PasteHere!C73,"\&amp;quot;","''")</f>
        <v/>
      </c>
      <c r="D73" s="7" t="str">
        <f t="shared" si="22"/>
        <v/>
      </c>
    </row>
    <row r="74" spans="1:7">
      <c r="A74" s="7" t="str">
        <f>SUBSTITUTE(PasteHere!B74,"\&amp;quot;","''")</f>
        <v/>
      </c>
      <c r="B74" s="7" t="str">
        <f>SUBSTITUTE(PasteHere!C74,"\&amp;quot;","''")</f>
        <v/>
      </c>
      <c r="D74" s="7" t="str">
        <f t="shared" si="22"/>
        <v/>
      </c>
    </row>
    <row r="75" spans="1:7">
      <c r="A75" s="7" t="str">
        <f>SUBSTITUTE(PasteHere!B75,"\&amp;quot;","''")</f>
        <v/>
      </c>
      <c r="B75" s="7" t="str">
        <f>SUBSTITUTE(PasteHere!C75,"\&amp;quot;","''")</f>
        <v/>
      </c>
      <c r="D75" s="7" t="str">
        <f t="shared" si="22"/>
        <v/>
      </c>
    </row>
    <row r="76" spans="1:7">
      <c r="A76" s="7" t="str">
        <f>SUBSTITUTE(PasteHere!B76,"\&amp;quot;","''")</f>
        <v/>
      </c>
      <c r="B76" s="7" t="str">
        <f>SUBSTITUTE(PasteHere!C76,"\&amp;quot;","''")</f>
        <v/>
      </c>
      <c r="D76" s="7" t="str">
        <f t="shared" si="22"/>
        <v/>
      </c>
    </row>
    <row r="77" spans="1:7">
      <c r="A77" s="7" t="str">
        <f>SUBSTITUTE(PasteHere!B77,"\&amp;quot;","''")</f>
        <v/>
      </c>
      <c r="B77" s="7" t="str">
        <f>SUBSTITUTE(PasteHere!C77,"\&amp;quot;","''")</f>
        <v/>
      </c>
      <c r="D77" s="7" t="str">
        <f t="shared" si="22"/>
        <v/>
      </c>
    </row>
    <row r="78" spans="1:7">
      <c r="A78" s="7" t="str">
        <f>SUBSTITUTE(PasteHere!B78,"\&amp;quot;","''")</f>
        <v/>
      </c>
      <c r="B78" s="7" t="str">
        <f>SUBSTITUTE(PasteHere!C78,"\&amp;quot;","''")</f>
        <v/>
      </c>
      <c r="D78" s="7" t="str">
        <f t="shared" si="22"/>
        <v/>
      </c>
    </row>
    <row r="79" spans="1:7">
      <c r="A79" s="7" t="str">
        <f>SUBSTITUTE(PasteHere!B79,"\&amp;quot;","''")</f>
        <v/>
      </c>
      <c r="B79" s="7" t="str">
        <f>SUBSTITUTE(PasteHere!C79,"\&amp;quot;","''")</f>
        <v/>
      </c>
      <c r="D79" s="7" t="str">
        <f t="shared" si="22"/>
        <v/>
      </c>
    </row>
    <row r="80" spans="1:7">
      <c r="A80" s="7" t="str">
        <f>SUBSTITUTE(PasteHere!B80,"\&amp;quot;","''")</f>
        <v/>
      </c>
      <c r="B80" s="7" t="str">
        <f>SUBSTITUTE(PasteHere!C80,"\&amp;quot;","''")</f>
        <v/>
      </c>
      <c r="D80" s="7" t="str">
        <f t="shared" si="22"/>
        <v/>
      </c>
    </row>
    <row r="81" spans="1:4">
      <c r="A81" s="7" t="str">
        <f>SUBSTITUTE(PasteHere!B81,"\&amp;quot;","''")</f>
        <v/>
      </c>
      <c r="B81" s="7" t="str">
        <f>SUBSTITUTE(PasteHere!C81,"\&amp;quot;","''")</f>
        <v/>
      </c>
      <c r="D81" s="7" t="str">
        <f t="shared" si="22"/>
        <v/>
      </c>
    </row>
    <row r="82" spans="1:4">
      <c r="A82" s="7" t="str">
        <f>SUBSTITUTE(PasteHere!B82,"\&amp;quot;","''")</f>
        <v/>
      </c>
      <c r="B82" s="7" t="str">
        <f>SUBSTITUTE(PasteHere!C82,"\&amp;quot;","''")</f>
        <v/>
      </c>
      <c r="D82" s="7" t="str">
        <f t="shared" si="22"/>
        <v/>
      </c>
    </row>
    <row r="83" spans="1:4">
      <c r="A83" s="7" t="str">
        <f>SUBSTITUTE(PasteHere!B83,"\&amp;quot;","''")</f>
        <v/>
      </c>
      <c r="B83" s="7" t="str">
        <f>SUBSTITUTE(PasteHere!C83,"\&amp;quot;","''")</f>
        <v/>
      </c>
      <c r="D83" s="7" t="str">
        <f t="shared" si="22"/>
        <v/>
      </c>
    </row>
    <row r="84" spans="1:4">
      <c r="A84" s="7" t="str">
        <f>SUBSTITUTE(PasteHere!B84,"\&amp;quot;","''")</f>
        <v/>
      </c>
      <c r="B84" s="7" t="str">
        <f>SUBSTITUTE(PasteHere!C84,"\&amp;quot;","''")</f>
        <v/>
      </c>
      <c r="D84" s="7" t="str">
        <f t="shared" si="22"/>
        <v/>
      </c>
    </row>
    <row r="85" spans="1:4">
      <c r="A85" s="7" t="str">
        <f>SUBSTITUTE(PasteHere!B85,"\&amp;quot;","''")</f>
        <v/>
      </c>
      <c r="B85" s="7" t="str">
        <f>SUBSTITUTE(PasteHere!C85,"\&amp;quot;","''")</f>
        <v/>
      </c>
      <c r="D85" s="7" t="str">
        <f t="shared" si="22"/>
        <v/>
      </c>
    </row>
    <row r="86" spans="1:4">
      <c r="A86" s="7" t="str">
        <f>SUBSTITUTE(PasteHere!B86,"\&amp;quot;","''")</f>
        <v/>
      </c>
      <c r="B86" s="7" t="str">
        <f>SUBSTITUTE(PasteHere!C86,"\&amp;quot;","''")</f>
        <v/>
      </c>
      <c r="D86" s="7" t="str">
        <f t="shared" si="22"/>
        <v/>
      </c>
    </row>
    <row r="87" spans="1:4">
      <c r="A87" s="7" t="str">
        <f>SUBSTITUTE(PasteHere!B87,"\&amp;quot;","''")</f>
        <v/>
      </c>
      <c r="B87" s="7" t="str">
        <f>SUBSTITUTE(PasteHere!C87,"\&amp;quot;","''")</f>
        <v/>
      </c>
      <c r="D87" s="7" t="str">
        <f t="shared" si="22"/>
        <v/>
      </c>
    </row>
    <row r="88" spans="1:4">
      <c r="A88" s="7" t="str">
        <f>SUBSTITUTE(PasteHere!B88,"\&amp;quot;","''")</f>
        <v/>
      </c>
      <c r="B88" s="7" t="str">
        <f>SUBSTITUTE(PasteHere!C88,"\&amp;quot;","''")</f>
        <v/>
      </c>
      <c r="D88" s="7" t="str">
        <f t="shared" si="22"/>
        <v/>
      </c>
    </row>
    <row r="89" spans="1:4">
      <c r="A89" s="7" t="str">
        <f>SUBSTITUTE(PasteHere!B89,"\&amp;quot;","''")</f>
        <v/>
      </c>
      <c r="B89" s="7" t="str">
        <f>SUBSTITUTE(PasteHere!C89,"\&amp;quot;","''")</f>
        <v/>
      </c>
      <c r="D89" s="7" t="str">
        <f t="shared" si="22"/>
        <v/>
      </c>
    </row>
    <row r="90" spans="1:4">
      <c r="A90" s="7" t="str">
        <f>SUBSTITUTE(PasteHere!B90,"\&amp;quot;","''")</f>
        <v/>
      </c>
      <c r="B90" s="7" t="str">
        <f>SUBSTITUTE(PasteHere!C90,"\&amp;quot;","''")</f>
        <v/>
      </c>
      <c r="D90" s="7" t="str">
        <f t="shared" si="22"/>
        <v/>
      </c>
    </row>
    <row r="91" spans="1:4">
      <c r="A91" s="7" t="str">
        <f>SUBSTITUTE(PasteHere!B91,"\&amp;quot;","''")</f>
        <v/>
      </c>
      <c r="B91" s="7" t="str">
        <f>SUBSTITUTE(PasteHere!C91,"\&amp;quot;","''")</f>
        <v/>
      </c>
      <c r="D91" s="7" t="str">
        <f t="shared" si="22"/>
        <v/>
      </c>
    </row>
    <row r="92" spans="1:4">
      <c r="A92" s="7" t="str">
        <f>SUBSTITUTE(PasteHere!B92,"\&amp;quot;","''")</f>
        <v/>
      </c>
      <c r="B92" s="7" t="str">
        <f>SUBSTITUTE(PasteHere!C92,"\&amp;quot;","''")</f>
        <v/>
      </c>
      <c r="D92" s="7" t="str">
        <f t="shared" si="22"/>
        <v/>
      </c>
    </row>
    <row r="93" spans="1:4">
      <c r="A93" s="7" t="str">
        <f>SUBSTITUTE(PasteHere!B93,"\&amp;quot;","''")</f>
        <v/>
      </c>
      <c r="B93" s="7" t="str">
        <f>SUBSTITUTE(PasteHere!C93,"\&amp;quot;","''")</f>
        <v/>
      </c>
      <c r="D93" s="7" t="str">
        <f t="shared" si="22"/>
        <v/>
      </c>
    </row>
    <row r="94" spans="1:4">
      <c r="A94" s="7" t="str">
        <f>SUBSTITUTE(PasteHere!B94,"\&amp;quot;","''")</f>
        <v/>
      </c>
      <c r="B94" s="7" t="str">
        <f>SUBSTITUTE(PasteHere!C94,"\&amp;quot;","''")</f>
        <v/>
      </c>
      <c r="D94" s="7" t="str">
        <f t="shared" si="22"/>
        <v/>
      </c>
    </row>
    <row r="95" spans="1:4">
      <c r="A95" s="7" t="str">
        <f>SUBSTITUTE(PasteHere!B95,"\&amp;quot;","''")</f>
        <v/>
      </c>
      <c r="B95" s="7" t="str">
        <f>SUBSTITUTE(PasteHere!C95,"\&amp;quot;","''")</f>
        <v/>
      </c>
      <c r="D95" s="7" t="str">
        <f t="shared" si="22"/>
        <v/>
      </c>
    </row>
    <row r="96" spans="1:4">
      <c r="A96" s="7" t="str">
        <f>SUBSTITUTE(PasteHere!B96,"\&amp;quot;","''")</f>
        <v/>
      </c>
      <c r="B96" s="7" t="str">
        <f>SUBSTITUTE(PasteHere!C96,"\&amp;quot;","''")</f>
        <v/>
      </c>
      <c r="D96" s="7" t="str">
        <f t="shared" si="22"/>
        <v/>
      </c>
    </row>
    <row r="97" spans="1:4">
      <c r="A97" s="7" t="str">
        <f>SUBSTITUTE(PasteHere!B97,"\&amp;quot;","''")</f>
        <v/>
      </c>
      <c r="B97" s="7" t="str">
        <f>SUBSTITUTE(PasteHere!C97,"\&amp;quot;","''")</f>
        <v/>
      </c>
      <c r="D97" s="7" t="str">
        <f t="shared" si="22"/>
        <v/>
      </c>
    </row>
    <row r="98" spans="1:4">
      <c r="A98" s="7" t="str">
        <f>SUBSTITUTE(PasteHere!B98,"\&amp;quot;","''")</f>
        <v/>
      </c>
      <c r="B98" s="7" t="str">
        <f>SUBSTITUTE(PasteHere!C98,"\&amp;quot;","''")</f>
        <v/>
      </c>
      <c r="D98" s="7" t="str">
        <f t="shared" si="22"/>
        <v/>
      </c>
    </row>
    <row r="99" spans="1:4">
      <c r="A99" s="7" t="str">
        <f>SUBSTITUTE(PasteHere!B99,"\&amp;quot;","''")</f>
        <v/>
      </c>
      <c r="B99" s="7" t="str">
        <f>SUBSTITUTE(PasteHere!C99,"\&amp;quot;","''")</f>
        <v/>
      </c>
    </row>
    <row r="100" spans="1:4">
      <c r="A100" s="7" t="str">
        <f>SUBSTITUTE(PasteHere!B100,"\&amp;quot;","''")</f>
        <v/>
      </c>
      <c r="B100" s="7" t="str">
        <f>SUBSTITUTE(PasteHere!C100,"\&amp;quot;","''")</f>
        <v/>
      </c>
    </row>
    <row r="101" spans="1:4">
      <c r="A101" s="7" t="str">
        <f>SUBSTITUTE(PasteHere!B101,"\&amp;quot;","''")</f>
        <v/>
      </c>
      <c r="B101" s="7" t="str">
        <f>SUBSTITUTE(PasteHere!C101,"\&amp;quot;","''")</f>
        <v/>
      </c>
    </row>
    <row r="102" spans="1:4">
      <c r="A102" s="7" t="str">
        <f>SUBSTITUTE(PasteHere!B102,"\&amp;quot;","''")</f>
        <v/>
      </c>
      <c r="B102" s="7" t="str">
        <f>SUBSTITUTE(PasteHere!C102,"\&amp;quot;","''")</f>
        <v/>
      </c>
    </row>
    <row r="103" spans="1:4">
      <c r="A103" s="7" t="str">
        <f>SUBSTITUTE(PasteHere!B103,"\&amp;quot;","''")</f>
        <v/>
      </c>
      <c r="B103" s="7" t="str">
        <f>SUBSTITUTE(PasteHere!C103,"\&amp;quot;","''")</f>
        <v/>
      </c>
    </row>
    <row r="104" spans="1:4">
      <c r="A104" s="7" t="str">
        <f>SUBSTITUTE(PasteHere!B104,"\&amp;quot;","''")</f>
        <v/>
      </c>
      <c r="B104" s="7" t="str">
        <f>SUBSTITUTE(PasteHere!C104,"\&amp;quot;","''")</f>
        <v/>
      </c>
    </row>
    <row r="105" spans="1:4">
      <c r="A105" s="7" t="str">
        <f>SUBSTITUTE(PasteHere!B105,"\&amp;quot;","''")</f>
        <v/>
      </c>
      <c r="B105" s="7" t="str">
        <f>SUBSTITUTE(PasteHere!C105,"\&amp;quot;","''")</f>
        <v/>
      </c>
    </row>
    <row r="106" spans="1:4">
      <c r="A106" s="7" t="str">
        <f>SUBSTITUTE(PasteHere!B106,"\&amp;quot;","''")</f>
        <v/>
      </c>
      <c r="B106" s="7" t="str">
        <f>SUBSTITUTE(PasteHere!C106,"\&amp;quot;","''")</f>
        <v/>
      </c>
    </row>
    <row r="107" spans="1:4">
      <c r="A107" s="7" t="str">
        <f>SUBSTITUTE(PasteHere!B107,"\&amp;quot;","''")</f>
        <v/>
      </c>
      <c r="B107" s="7" t="str">
        <f>SUBSTITUTE(PasteHere!C107,"\&amp;quot;","''")</f>
        <v/>
      </c>
    </row>
    <row r="108" spans="1:4">
      <c r="A108" s="7" t="str">
        <f>SUBSTITUTE(PasteHere!B108,"\&amp;quot;","''")</f>
        <v/>
      </c>
      <c r="B108" s="7" t="str">
        <f>SUBSTITUTE(PasteHere!C108,"\&amp;quot;","''")</f>
        <v/>
      </c>
    </row>
    <row r="109" spans="1:4">
      <c r="A109" s="7" t="str">
        <f>SUBSTITUTE(PasteHere!B109,"\&amp;quot;","''")</f>
        <v/>
      </c>
      <c r="B109" s="7" t="str">
        <f>SUBSTITUTE(PasteHere!C109,"\&amp;quot;","''")</f>
        <v/>
      </c>
    </row>
    <row r="110" spans="1:4">
      <c r="A110" s="7" t="str">
        <f>SUBSTITUTE(PasteHere!B110,"\&amp;quot;","''")</f>
        <v/>
      </c>
      <c r="B110" s="7" t="str">
        <f>SUBSTITUTE(PasteHere!C110,"\&amp;quot;","''")</f>
        <v/>
      </c>
    </row>
    <row r="111" spans="1:4">
      <c r="A111" s="7" t="str">
        <f>SUBSTITUTE(PasteHere!B111,"\&amp;quot;","''")</f>
        <v/>
      </c>
      <c r="B111" s="7" t="str">
        <f>SUBSTITUTE(PasteHere!C111,"\&amp;quot;","''")</f>
        <v/>
      </c>
    </row>
    <row r="112" spans="1:4">
      <c r="A112" s="7" t="str">
        <f>SUBSTITUTE(PasteHere!B112,"\&amp;quot;","''")</f>
        <v/>
      </c>
      <c r="B112" s="7" t="str">
        <f>SUBSTITUTE(PasteHere!C112,"\&amp;quot;","''")</f>
        <v/>
      </c>
    </row>
    <row r="113" spans="1:2">
      <c r="A113" s="7" t="str">
        <f>SUBSTITUTE(PasteHere!B113,"\&amp;quot;","''")</f>
        <v/>
      </c>
      <c r="B113" s="7" t="str">
        <f>SUBSTITUTE(PasteHere!C113,"\&amp;quot;","''")</f>
        <v/>
      </c>
    </row>
    <row r="114" spans="1:2">
      <c r="A114" s="7" t="str">
        <f>SUBSTITUTE(PasteHere!B114,"\&amp;quot;","''")</f>
        <v/>
      </c>
      <c r="B114" s="7" t="str">
        <f>SUBSTITUTE(PasteHere!C114,"\&amp;quot;","''")</f>
        <v/>
      </c>
    </row>
    <row r="115" spans="1:2">
      <c r="A115" s="7" t="str">
        <f>SUBSTITUTE(PasteHere!B115,"\&amp;quot;","''")</f>
        <v/>
      </c>
      <c r="B115" s="7" t="str">
        <f>SUBSTITUTE(PasteHere!C115,"\&amp;quot;","''")</f>
        <v/>
      </c>
    </row>
    <row r="116" spans="1:2">
      <c r="A116" s="7" t="str">
        <f>SUBSTITUTE(PasteHere!B116,"\&amp;quot;","''")</f>
        <v/>
      </c>
      <c r="B116" s="7" t="str">
        <f>SUBSTITUTE(PasteHere!C116,"\&amp;quot;","''")</f>
        <v/>
      </c>
    </row>
    <row r="117" spans="1:2">
      <c r="A117" s="7" t="str">
        <f>SUBSTITUTE(PasteHere!B117,"\&amp;quot;","''")</f>
        <v/>
      </c>
      <c r="B117" s="7" t="str">
        <f>SUBSTITUTE(PasteHere!C117,"\&amp;quot;","''")</f>
        <v/>
      </c>
    </row>
    <row r="118" spans="1:2">
      <c r="A118" s="7" t="str">
        <f>SUBSTITUTE(PasteHere!B118,"\&amp;quot;","''")</f>
        <v/>
      </c>
      <c r="B118" s="7" t="str">
        <f>SUBSTITUTE(PasteHere!C118,"\&amp;quot;","''")</f>
        <v/>
      </c>
    </row>
    <row r="119" spans="1:2">
      <c r="A119" s="7" t="str">
        <f>SUBSTITUTE(PasteHere!B119,"\&amp;quot;","''")</f>
        <v/>
      </c>
      <c r="B119" s="7" t="str">
        <f>SUBSTITUTE(PasteHere!C119,"\&amp;quot;","''")</f>
        <v/>
      </c>
    </row>
    <row r="120" spans="1:2">
      <c r="A120" s="7" t="str">
        <f>SUBSTITUTE(PasteHere!B120,"\&amp;quot;","''")</f>
        <v/>
      </c>
      <c r="B120" s="7" t="str">
        <f>SUBSTITUTE(PasteHere!C120,"\&amp;quot;","''")</f>
        <v/>
      </c>
    </row>
    <row r="121" spans="1:2">
      <c r="A121" s="7" t="str">
        <f>SUBSTITUTE(PasteHere!B121,"\&amp;quot;","''")</f>
        <v/>
      </c>
      <c r="B121" s="7" t="str">
        <f>SUBSTITUTE(PasteHere!C121,"\&amp;quot;","''")</f>
        <v/>
      </c>
    </row>
    <row r="122" spans="1:2">
      <c r="A122" s="7" t="str">
        <f>SUBSTITUTE(PasteHere!B122,"\&amp;quot;","''")</f>
        <v/>
      </c>
      <c r="B122" s="7" t="str">
        <f>SUBSTITUTE(PasteHere!C122,"\&amp;quot;","''")</f>
        <v/>
      </c>
    </row>
    <row r="123" spans="1:2">
      <c r="A123" s="7" t="str">
        <f>SUBSTITUTE(PasteHere!B123,"\&amp;quot;","''")</f>
        <v/>
      </c>
      <c r="B123" s="7" t="str">
        <f>SUBSTITUTE(PasteHere!C123,"\&amp;quot;","''")</f>
        <v/>
      </c>
    </row>
    <row r="124" spans="1:2">
      <c r="A124" s="7" t="str">
        <f>SUBSTITUTE(PasteHere!B124,"\&amp;quot;","''")</f>
        <v/>
      </c>
      <c r="B124" s="7" t="str">
        <f>SUBSTITUTE(PasteHere!C124,"\&amp;quot;","''")</f>
        <v/>
      </c>
    </row>
    <row r="125" spans="1:2">
      <c r="A125" s="7" t="str">
        <f>SUBSTITUTE(PasteHere!B125,"\&amp;quot;","''")</f>
        <v/>
      </c>
      <c r="B125" s="7" t="str">
        <f>SUBSTITUTE(PasteHere!C125,"\&amp;quot;","''")</f>
        <v/>
      </c>
    </row>
    <row r="126" spans="1:2">
      <c r="A126" s="7" t="str">
        <f>SUBSTITUTE(PasteHere!B126,"\&amp;quot;","''")</f>
        <v/>
      </c>
      <c r="B126" s="7" t="str">
        <f>SUBSTITUTE(PasteHere!C126,"\&amp;quot;","''")</f>
        <v/>
      </c>
    </row>
    <row r="127" spans="1:2">
      <c r="A127" s="7" t="str">
        <f>SUBSTITUTE(PasteHere!B127,"\&amp;quot;","''")</f>
        <v/>
      </c>
      <c r="B127" s="7" t="str">
        <f>SUBSTITUTE(PasteHere!C127,"\&amp;quot;","''")</f>
        <v/>
      </c>
    </row>
    <row r="128" spans="1:2">
      <c r="A128" s="7" t="str">
        <f>SUBSTITUTE(PasteHere!B128,"\&amp;quot;","''")</f>
        <v/>
      </c>
      <c r="B128" s="7" t="str">
        <f>SUBSTITUTE(PasteHere!C128,"\&amp;quot;","''")</f>
        <v/>
      </c>
    </row>
    <row r="129" spans="1:2">
      <c r="A129" s="7" t="str">
        <f>SUBSTITUTE(PasteHere!B129,"\&amp;quot;","''")</f>
        <v/>
      </c>
      <c r="B129" s="7" t="str">
        <f>SUBSTITUTE(PasteHere!C129,"\&amp;quot;","''")</f>
        <v/>
      </c>
    </row>
    <row r="130" spans="1:2">
      <c r="A130" s="7" t="str">
        <f>SUBSTITUTE(PasteHere!B130,"\&amp;quot;","''")</f>
        <v/>
      </c>
      <c r="B130" s="7" t="str">
        <f>SUBSTITUTE(PasteHere!C130,"\&amp;quot;","''")</f>
        <v/>
      </c>
    </row>
    <row r="131" spans="1:2">
      <c r="A131" s="7" t="str">
        <f>SUBSTITUTE(PasteHere!B131,"\&amp;quot;","''")</f>
        <v/>
      </c>
      <c r="B131" s="7" t="str">
        <f>SUBSTITUTE(PasteHere!C131,"\&amp;quot;","''")</f>
        <v/>
      </c>
    </row>
    <row r="132" spans="1:2">
      <c r="A132" s="7" t="str">
        <f>SUBSTITUTE(PasteHere!B132,"\&amp;quot;","''")</f>
        <v/>
      </c>
      <c r="B132" s="7" t="str">
        <f>SUBSTITUTE(PasteHere!C132,"\&amp;quot;","''")</f>
        <v/>
      </c>
    </row>
    <row r="133" spans="1:2">
      <c r="A133" s="7" t="str">
        <f>SUBSTITUTE(PasteHere!B133,"\&amp;quot;","''")</f>
        <v/>
      </c>
      <c r="B133" s="7" t="str">
        <f>SUBSTITUTE(PasteHere!C133,"\&amp;quot;","''")</f>
        <v/>
      </c>
    </row>
    <row r="134" spans="1:2">
      <c r="A134" s="7" t="str">
        <f>SUBSTITUTE(PasteHere!B134,"\&amp;quot;","''")</f>
        <v/>
      </c>
      <c r="B134" s="7" t="str">
        <f>SUBSTITUTE(PasteHere!C134,"\&amp;quot;","''")</f>
        <v/>
      </c>
    </row>
    <row r="135" spans="1:2">
      <c r="A135" s="7" t="str">
        <f>SUBSTITUTE(PasteHere!B135,"\&amp;quot;","''")</f>
        <v/>
      </c>
      <c r="B135" s="7" t="str">
        <f>SUBSTITUTE(PasteHere!C135,"\&amp;quot;","''")</f>
        <v/>
      </c>
    </row>
    <row r="136" spans="1:2">
      <c r="A136" s="7" t="str">
        <f>SUBSTITUTE(PasteHere!B136,"\&amp;quot;","''")</f>
        <v/>
      </c>
      <c r="B136" s="7" t="str">
        <f>SUBSTITUTE(PasteHere!C136,"\&amp;quot;","''")</f>
        <v/>
      </c>
    </row>
    <row r="137" spans="1:2">
      <c r="A137" s="7" t="str">
        <f>SUBSTITUTE(PasteHere!B137,"\&amp;quot;","''")</f>
        <v/>
      </c>
      <c r="B137" s="7" t="str">
        <f>SUBSTITUTE(PasteHere!C137,"\&amp;quot;","''")</f>
        <v/>
      </c>
    </row>
    <row r="138" spans="1:2">
      <c r="A138" s="7" t="str">
        <f>SUBSTITUTE(PasteHere!B138,"\&amp;quot;","''")</f>
        <v/>
      </c>
      <c r="B138" s="7" t="str">
        <f>SUBSTITUTE(PasteHere!C138,"\&amp;quot;","''")</f>
        <v/>
      </c>
    </row>
    <row r="139" spans="1:2">
      <c r="A139" s="7" t="str">
        <f>SUBSTITUTE(PasteHere!B139,"\&amp;quot;","''")</f>
        <v/>
      </c>
      <c r="B139" s="7" t="str">
        <f>SUBSTITUTE(PasteHere!C139,"\&amp;quot;","''")</f>
        <v/>
      </c>
    </row>
    <row r="140" spans="1:2">
      <c r="A140" s="7" t="str">
        <f>SUBSTITUTE(PasteHere!B140,"\&amp;quot;","''")</f>
        <v/>
      </c>
      <c r="B140" s="7" t="str">
        <f>SUBSTITUTE(PasteHere!C140,"\&amp;quot;","''")</f>
        <v/>
      </c>
    </row>
    <row r="141" spans="1:2">
      <c r="A141" s="7" t="str">
        <f>SUBSTITUTE(PasteHere!B141,"\&amp;quot;","''")</f>
        <v/>
      </c>
      <c r="B141" s="7" t="str">
        <f>SUBSTITUTE(PasteHere!C141,"\&amp;quot;","''")</f>
        <v/>
      </c>
    </row>
    <row r="142" spans="1:2">
      <c r="A142" s="7" t="str">
        <f>SUBSTITUTE(PasteHere!B142,"\&amp;quot;","''")</f>
        <v/>
      </c>
      <c r="B142" s="7" t="str">
        <f>SUBSTITUTE(PasteHere!C142,"\&amp;quot;","''")</f>
        <v/>
      </c>
    </row>
    <row r="143" spans="1:2">
      <c r="A143" s="7" t="str">
        <f>SUBSTITUTE(PasteHere!B143,"\&amp;quot;","''")</f>
        <v/>
      </c>
      <c r="B143" s="7" t="str">
        <f>SUBSTITUTE(PasteHere!C143,"\&amp;quot;","''")</f>
        <v/>
      </c>
    </row>
    <row r="144" spans="1:2">
      <c r="A144" s="7" t="str">
        <f>SUBSTITUTE(PasteHere!B144,"\&amp;quot;","''")</f>
        <v/>
      </c>
      <c r="B144" s="7" t="str">
        <f>SUBSTITUTE(PasteHere!C144,"\&amp;quot;","''")</f>
        <v/>
      </c>
    </row>
    <row r="145" spans="1:2">
      <c r="A145" s="7" t="str">
        <f>SUBSTITUTE(PasteHere!B145,"\&amp;quot;","''")</f>
        <v/>
      </c>
      <c r="B145" s="7" t="str">
        <f>SUBSTITUTE(PasteHere!C145,"\&amp;quot;","''")</f>
        <v/>
      </c>
    </row>
    <row r="146" spans="1:2">
      <c r="A146" s="7" t="str">
        <f>SUBSTITUTE(PasteHere!B146,"\&amp;quot;","''")</f>
        <v/>
      </c>
      <c r="B146" s="7" t="str">
        <f>SUBSTITUTE(PasteHere!C146,"\&amp;quot;","''")</f>
        <v/>
      </c>
    </row>
    <row r="147" spans="1:2">
      <c r="A147" s="7" t="str">
        <f>SUBSTITUTE(PasteHere!B147,"\&amp;quot;","''")</f>
        <v/>
      </c>
      <c r="B147" s="7" t="str">
        <f>SUBSTITUTE(PasteHere!C147,"\&amp;quot;","''")</f>
        <v/>
      </c>
    </row>
    <row r="148" spans="1:2">
      <c r="A148" s="7" t="str">
        <f>SUBSTITUTE(PasteHere!B148,"\&amp;quot;","''")</f>
        <v/>
      </c>
      <c r="B148" s="7" t="str">
        <f>SUBSTITUTE(PasteHere!C148,"\&amp;quot;","''")</f>
        <v/>
      </c>
    </row>
    <row r="149" spans="1:2">
      <c r="A149" s="7" t="str">
        <f>SUBSTITUTE(PasteHere!B149,"\&amp;quot;","''")</f>
        <v/>
      </c>
      <c r="B149" s="7" t="str">
        <f>SUBSTITUTE(PasteHere!C149,"\&amp;quot;","''")</f>
        <v/>
      </c>
    </row>
    <row r="150" spans="1:2">
      <c r="A150" s="7" t="str">
        <f>SUBSTITUTE(PasteHere!B150,"\&amp;quot;","''")</f>
        <v/>
      </c>
      <c r="B150" s="7" t="str">
        <f>SUBSTITUTE(PasteHere!C150,"\&amp;quot;","''")</f>
        <v/>
      </c>
    </row>
    <row r="151" spans="1:2">
      <c r="A151" s="7" t="str">
        <f>SUBSTITUTE(PasteHere!B151,"\&amp;quot;","''")</f>
        <v/>
      </c>
      <c r="B151" s="7" t="str">
        <f>SUBSTITUTE(PasteHere!C151,"\&amp;quot;","''")</f>
        <v/>
      </c>
    </row>
    <row r="152" spans="1:2">
      <c r="A152" s="7" t="str">
        <f>SUBSTITUTE(PasteHere!B152,"\&amp;quot;","''")</f>
        <v/>
      </c>
      <c r="B152" s="7" t="str">
        <f>SUBSTITUTE(PasteHere!C152,"\&amp;quot;","''")</f>
        <v/>
      </c>
    </row>
    <row r="153" spans="1:2">
      <c r="A153" s="7" t="str">
        <f>SUBSTITUTE(PasteHere!B153,"\&amp;quot;","''")</f>
        <v/>
      </c>
      <c r="B153" s="7" t="str">
        <f>SUBSTITUTE(PasteHere!C153,"\&amp;quot;","''")</f>
        <v/>
      </c>
    </row>
    <row r="154" spans="1:2">
      <c r="A154" s="7" t="str">
        <f>SUBSTITUTE(PasteHere!B154,"\&amp;quot;","''")</f>
        <v/>
      </c>
      <c r="B154" s="7" t="str">
        <f>SUBSTITUTE(PasteHere!C154,"\&amp;quot;","''")</f>
        <v/>
      </c>
    </row>
    <row r="155" spans="1:2">
      <c r="A155" s="7" t="str">
        <f>SUBSTITUTE(PasteHere!B155,"\&amp;quot;","''")</f>
        <v/>
      </c>
      <c r="B155" s="7" t="str">
        <f>SUBSTITUTE(PasteHere!C155,"\&amp;quot;","''")</f>
        <v/>
      </c>
    </row>
    <row r="156" spans="1:2">
      <c r="A156" s="7" t="str">
        <f>SUBSTITUTE(PasteHere!B156,"\&amp;quot;","''")</f>
        <v/>
      </c>
      <c r="B156" s="7" t="str">
        <f>SUBSTITUTE(PasteHere!C156,"\&amp;quot;","''")</f>
        <v/>
      </c>
    </row>
    <row r="157" spans="1:2">
      <c r="A157" s="7" t="str">
        <f>SUBSTITUTE(PasteHere!B157,"\&amp;quot;","''")</f>
        <v/>
      </c>
      <c r="B157" s="7" t="str">
        <f>SUBSTITUTE(PasteHere!C157,"\&amp;quot;","''")</f>
        <v/>
      </c>
    </row>
    <row r="158" spans="1:2">
      <c r="A158" s="7" t="str">
        <f>SUBSTITUTE(PasteHere!B158,"\&amp;quot;","''")</f>
        <v/>
      </c>
      <c r="B158" s="7" t="str">
        <f>SUBSTITUTE(PasteHere!C158,"\&amp;quot;","''")</f>
        <v/>
      </c>
    </row>
    <row r="159" spans="1:2">
      <c r="A159" s="7" t="str">
        <f>SUBSTITUTE(PasteHere!B159,"\&amp;quot;","''")</f>
        <v/>
      </c>
      <c r="B159" s="7" t="str">
        <f>SUBSTITUTE(PasteHere!C159,"\&amp;quot;","''")</f>
        <v/>
      </c>
    </row>
    <row r="160" spans="1:2">
      <c r="A160" s="7" t="str">
        <f>SUBSTITUTE(PasteHere!B160,"\&amp;quot;","''")</f>
        <v/>
      </c>
      <c r="B160" s="7" t="str">
        <f>SUBSTITUTE(PasteHere!C160,"\&amp;quot;","''")</f>
        <v/>
      </c>
    </row>
    <row r="161" spans="1:2">
      <c r="A161" s="7" t="str">
        <f>SUBSTITUTE(PasteHere!B161,"\&amp;quot;","''")</f>
        <v/>
      </c>
      <c r="B161" s="7" t="str">
        <f>SUBSTITUTE(PasteHere!C161,"\&amp;quot;","''")</f>
        <v/>
      </c>
    </row>
    <row r="162" spans="1:2">
      <c r="A162" s="7" t="str">
        <f>SUBSTITUTE(PasteHere!B162,"\&amp;quot;","''")</f>
        <v/>
      </c>
      <c r="B162" s="7" t="str">
        <f>SUBSTITUTE(PasteHere!C162,"\&amp;quot;","''")</f>
        <v/>
      </c>
    </row>
    <row r="163" spans="1:2">
      <c r="A163" s="7" t="str">
        <f>SUBSTITUTE(PasteHere!B163,"\&amp;quot;","''")</f>
        <v/>
      </c>
      <c r="B163" s="7" t="str">
        <f>SUBSTITUTE(PasteHere!C163,"\&amp;quot;","''")</f>
        <v/>
      </c>
    </row>
    <row r="164" spans="1:2">
      <c r="A164" s="7" t="str">
        <f>SUBSTITUTE(PasteHere!B164,"\&amp;quot;","''")</f>
        <v/>
      </c>
      <c r="B164" s="7" t="str">
        <f>SUBSTITUTE(PasteHere!C164,"\&amp;quot;","''")</f>
        <v/>
      </c>
    </row>
    <row r="165" spans="1:2">
      <c r="A165" s="7" t="str">
        <f>SUBSTITUTE(PasteHere!B165,"\&amp;quot;","''")</f>
        <v/>
      </c>
      <c r="B165" s="7" t="str">
        <f>SUBSTITUTE(PasteHere!C165,"\&amp;quot;","''")</f>
        <v/>
      </c>
    </row>
    <row r="166" spans="1:2">
      <c r="A166" s="7" t="str">
        <f>SUBSTITUTE(PasteHere!B166,"\&amp;quot;","''")</f>
        <v/>
      </c>
      <c r="B166" s="7" t="str">
        <f>SUBSTITUTE(PasteHere!C166,"\&amp;quot;","''")</f>
        <v/>
      </c>
    </row>
    <row r="167" spans="1:2">
      <c r="A167" s="7" t="str">
        <f>SUBSTITUTE(PasteHere!B167,"\&amp;quot;","''")</f>
        <v/>
      </c>
      <c r="B167" s="7" t="str">
        <f>SUBSTITUTE(PasteHere!C167,"\&amp;quot;","''")</f>
        <v/>
      </c>
    </row>
    <row r="168" spans="1:2">
      <c r="A168" s="7" t="str">
        <f>SUBSTITUTE(PasteHere!B168,"\&amp;quot;","''")</f>
        <v/>
      </c>
      <c r="B168" s="7" t="str">
        <f>SUBSTITUTE(PasteHere!C168,"\&amp;quot;","''")</f>
        <v/>
      </c>
    </row>
    <row r="169" spans="1:2">
      <c r="A169" s="7" t="str">
        <f>SUBSTITUTE(PasteHere!B169,"\&amp;quot;","''")</f>
        <v/>
      </c>
      <c r="B169" s="7" t="str">
        <f>SUBSTITUTE(PasteHere!C169,"\&amp;quot;","''")</f>
        <v/>
      </c>
    </row>
    <row r="170" spans="1:2">
      <c r="A170" s="7" t="str">
        <f>SUBSTITUTE(PasteHere!B170,"\&amp;quot;","''")</f>
        <v/>
      </c>
      <c r="B170" s="7" t="str">
        <f>SUBSTITUTE(PasteHere!C170,"\&amp;quot;","''")</f>
        <v/>
      </c>
    </row>
    <row r="171" spans="1:2">
      <c r="A171" s="7" t="str">
        <f>SUBSTITUTE(PasteHere!B171,"\&amp;quot;","''")</f>
        <v/>
      </c>
      <c r="B171" s="7" t="str">
        <f>SUBSTITUTE(PasteHere!C171,"\&amp;quot;","''")</f>
        <v/>
      </c>
    </row>
    <row r="172" spans="1:2">
      <c r="A172" s="7" t="str">
        <f>SUBSTITUTE(PasteHere!B172,"\&amp;quot;","''")</f>
        <v/>
      </c>
      <c r="B172" s="7" t="str">
        <f>SUBSTITUTE(PasteHere!C172,"\&amp;quot;","''")</f>
        <v/>
      </c>
    </row>
    <row r="173" spans="1:2">
      <c r="A173" s="7" t="str">
        <f>SUBSTITUTE(PasteHere!B173,"\&amp;quot;","''")</f>
        <v/>
      </c>
      <c r="B173" s="7" t="str">
        <f>SUBSTITUTE(PasteHere!C173,"\&amp;quot;","''")</f>
        <v/>
      </c>
    </row>
    <row r="174" spans="1:2">
      <c r="A174" s="7" t="str">
        <f>SUBSTITUTE(PasteHere!B174,"\&amp;quot;","''")</f>
        <v/>
      </c>
      <c r="B174" s="7" t="str">
        <f>SUBSTITUTE(PasteHere!C174,"\&amp;quot;","''")</f>
        <v/>
      </c>
    </row>
    <row r="175" spans="1:2">
      <c r="A175" s="7" t="str">
        <f>SUBSTITUTE(PasteHere!B175,"\&amp;quot;","''")</f>
        <v/>
      </c>
      <c r="B175" s="7" t="str">
        <f>SUBSTITUTE(PasteHere!C175,"\&amp;quot;","''")</f>
        <v/>
      </c>
    </row>
    <row r="176" spans="1:2">
      <c r="A176" s="7" t="str">
        <f>SUBSTITUTE(PasteHere!B176,"\&amp;quot;","''")</f>
        <v/>
      </c>
      <c r="B176" s="7" t="str">
        <f>SUBSTITUTE(PasteHere!C176,"\&amp;quot;","''")</f>
        <v/>
      </c>
    </row>
    <row r="177" spans="1:2">
      <c r="A177" s="7" t="str">
        <f>SUBSTITUTE(PasteHere!B177,"\&amp;quot;","''")</f>
        <v/>
      </c>
      <c r="B177" s="7" t="str">
        <f>SUBSTITUTE(PasteHere!C177,"\&amp;quot;","''")</f>
        <v/>
      </c>
    </row>
    <row r="178" spans="1:2">
      <c r="A178" s="7" t="str">
        <f>SUBSTITUTE(PasteHere!B178,"\&amp;quot;","''")</f>
        <v/>
      </c>
      <c r="B178" s="7" t="str">
        <f>SUBSTITUTE(PasteHere!C178,"\&amp;quot;","''")</f>
        <v/>
      </c>
    </row>
    <row r="179" spans="1:2">
      <c r="A179" s="7" t="str">
        <f>SUBSTITUTE(PasteHere!B179,"\&amp;quot;","''")</f>
        <v/>
      </c>
      <c r="B179" s="7" t="str">
        <f>SUBSTITUTE(PasteHere!C179,"\&amp;quot;","''")</f>
        <v/>
      </c>
    </row>
    <row r="180" spans="1:2">
      <c r="A180" s="7" t="str">
        <f>SUBSTITUTE(PasteHere!B180,"\&amp;quot;","''")</f>
        <v/>
      </c>
      <c r="B180" s="7" t="str">
        <f>SUBSTITUTE(PasteHere!C180,"\&amp;quot;","''")</f>
        <v/>
      </c>
    </row>
    <row r="181" spans="1:2">
      <c r="A181" s="7" t="str">
        <f>SUBSTITUTE(PasteHere!B181,"\&amp;quot;","''")</f>
        <v/>
      </c>
      <c r="B181" s="7" t="str">
        <f>SUBSTITUTE(PasteHere!C181,"\&amp;quot;","''")</f>
        <v/>
      </c>
    </row>
    <row r="182" spans="1:2">
      <c r="A182" s="7" t="str">
        <f>SUBSTITUTE(PasteHere!B182,"\&amp;quot;","''")</f>
        <v/>
      </c>
      <c r="B182" s="7" t="str">
        <f>SUBSTITUTE(PasteHere!C182,"\&amp;quot;","''")</f>
        <v/>
      </c>
    </row>
    <row r="183" spans="1:2">
      <c r="A183" s="7" t="str">
        <f>SUBSTITUTE(PasteHere!B183,"\&amp;quot;","''")</f>
        <v/>
      </c>
      <c r="B183" s="7" t="str">
        <f>SUBSTITUTE(PasteHere!C183,"\&amp;quot;","''")</f>
        <v/>
      </c>
    </row>
    <row r="184" spans="1:2">
      <c r="A184" s="7" t="str">
        <f>SUBSTITUTE(PasteHere!B184,"\&amp;quot;","''")</f>
        <v/>
      </c>
      <c r="B184" s="7" t="str">
        <f>SUBSTITUTE(PasteHere!C184,"\&amp;quot;","''")</f>
        <v/>
      </c>
    </row>
    <row r="185" spans="1:2">
      <c r="A185" s="7" t="str">
        <f>SUBSTITUTE(PasteHere!B185,"\&amp;quot;","''")</f>
        <v/>
      </c>
      <c r="B185" s="7" t="str">
        <f>SUBSTITUTE(PasteHere!C185,"\&amp;quot;","''")</f>
        <v/>
      </c>
    </row>
    <row r="186" spans="1:2">
      <c r="A186" s="7" t="str">
        <f>SUBSTITUTE(PasteHere!B186,"\&amp;quot;","''")</f>
        <v/>
      </c>
      <c r="B186" s="7" t="str">
        <f>SUBSTITUTE(PasteHere!C186,"\&amp;quot;","''")</f>
        <v/>
      </c>
    </row>
    <row r="187" spans="1:2">
      <c r="A187" s="7" t="str">
        <f>SUBSTITUTE(PasteHere!B187,"\&amp;quot;","''")</f>
        <v/>
      </c>
      <c r="B187" s="7" t="str">
        <f>SUBSTITUTE(PasteHere!C187,"\&amp;quot;","''")</f>
        <v/>
      </c>
    </row>
    <row r="188" spans="1:2">
      <c r="A188" s="7" t="str">
        <f>SUBSTITUTE(PasteHere!B188,"\&amp;quot;","''")</f>
        <v/>
      </c>
      <c r="B188" s="7" t="str">
        <f>SUBSTITUTE(PasteHere!C188,"\&amp;quot;","''")</f>
        <v/>
      </c>
    </row>
    <row r="189" spans="1:2">
      <c r="A189" s="7" t="str">
        <f>SUBSTITUTE(PasteHere!B189,"\&amp;quot;","''")</f>
        <v/>
      </c>
      <c r="B189" s="7" t="str">
        <f>SUBSTITUTE(PasteHere!C189,"\&amp;quot;","''")</f>
        <v/>
      </c>
    </row>
    <row r="190" spans="1:2">
      <c r="A190" s="7" t="str">
        <f>SUBSTITUTE(PasteHere!B190,"\&amp;quot;","''")</f>
        <v/>
      </c>
      <c r="B190" s="7" t="str">
        <f>SUBSTITUTE(PasteHere!C190,"\&amp;quot;","''")</f>
        <v/>
      </c>
    </row>
    <row r="191" spans="1:2">
      <c r="A191" s="7" t="str">
        <f>SUBSTITUTE(PasteHere!B191,"\&amp;quot;","''")</f>
        <v/>
      </c>
      <c r="B191" s="7" t="str">
        <f>SUBSTITUTE(PasteHere!C191,"\&amp;quot;","''")</f>
        <v/>
      </c>
    </row>
    <row r="192" spans="1:2">
      <c r="A192" s="7" t="str">
        <f>SUBSTITUTE(PasteHere!B192,"\&amp;quot;","''")</f>
        <v/>
      </c>
      <c r="B192" s="7" t="str">
        <f>SUBSTITUTE(PasteHere!C192,"\&amp;quot;","''")</f>
        <v/>
      </c>
    </row>
    <row r="193" spans="1:2">
      <c r="A193" s="7" t="str">
        <f>SUBSTITUTE(PasteHere!B193,"\&amp;quot;","''")</f>
        <v/>
      </c>
      <c r="B193" s="7" t="str">
        <f>SUBSTITUTE(PasteHere!C193,"\&amp;quot;","''")</f>
        <v/>
      </c>
    </row>
    <row r="194" spans="1:2">
      <c r="A194" s="7" t="str">
        <f>SUBSTITUTE(PasteHere!B194,"\&amp;quot;","''")</f>
        <v/>
      </c>
      <c r="B194" s="7" t="str">
        <f>SUBSTITUTE(PasteHere!C194,"\&amp;quot;","''")</f>
        <v/>
      </c>
    </row>
    <row r="195" spans="1:2">
      <c r="A195" s="7" t="str">
        <f>SUBSTITUTE(PasteHere!B195,"\&amp;quot;","''")</f>
        <v/>
      </c>
      <c r="B195" s="7" t="str">
        <f>SUBSTITUTE(PasteHere!C195,"\&amp;quot;","''")</f>
        <v/>
      </c>
    </row>
    <row r="196" spans="1:2">
      <c r="A196" s="7" t="str">
        <f>SUBSTITUTE(PasteHere!B196,"\&amp;quot;","''")</f>
        <v/>
      </c>
      <c r="B196" s="7" t="str">
        <f>SUBSTITUTE(PasteHere!C196,"\&amp;quot;","''")</f>
        <v/>
      </c>
    </row>
    <row r="197" spans="1:2">
      <c r="A197" s="7" t="str">
        <f>SUBSTITUTE(PasteHere!B197,"\&amp;quot;","''")</f>
        <v/>
      </c>
      <c r="B197" s="7" t="str">
        <f>SUBSTITUTE(PasteHere!C197,"\&amp;quot;","''")</f>
        <v/>
      </c>
    </row>
    <row r="198" spans="1:2">
      <c r="A198" s="7" t="str">
        <f>SUBSTITUTE(PasteHere!B198,"\&amp;quot;","''")</f>
        <v/>
      </c>
      <c r="B198" s="7" t="str">
        <f>SUBSTITUTE(PasteHere!C198,"\&amp;quot;","''")</f>
        <v/>
      </c>
    </row>
    <row r="199" spans="1:2">
      <c r="A199" s="7" t="str">
        <f>SUBSTITUTE(PasteHere!B199,"\&amp;quot;","''")</f>
        <v/>
      </c>
      <c r="B199" s="7" t="str">
        <f>SUBSTITUTE(PasteHere!C199,"\&amp;quot;","''")</f>
        <v/>
      </c>
    </row>
    <row r="200" spans="1:2">
      <c r="A200" s="7" t="str">
        <f>SUBSTITUTE(PasteHere!B200,"\&amp;quot;","''")</f>
        <v/>
      </c>
      <c r="B200" s="7" t="str">
        <f>SUBSTITUTE(PasteHere!C200,"\&amp;quot;","''")</f>
        <v/>
      </c>
    </row>
    <row r="201" spans="1:2">
      <c r="A201" s="7" t="str">
        <f>SUBSTITUTE(PasteHere!B201,"\&amp;quot;","''")</f>
        <v/>
      </c>
      <c r="B201" s="7" t="str">
        <f>SUBSTITUTE(PasteHere!C201,"\&amp;quot;","''")</f>
        <v/>
      </c>
    </row>
    <row r="202" spans="1:2">
      <c r="A202" s="7" t="str">
        <f>SUBSTITUTE(PasteHere!B202,"\&amp;quot;","''")</f>
        <v/>
      </c>
      <c r="B202" s="7" t="str">
        <f>SUBSTITUTE(PasteHere!C202,"\&amp;quot;","''")</f>
        <v/>
      </c>
    </row>
    <row r="203" spans="1:2">
      <c r="A203" s="7" t="str">
        <f>SUBSTITUTE(PasteHere!B203,"\&amp;quot;","''")</f>
        <v/>
      </c>
      <c r="B203" s="7" t="str">
        <f>SUBSTITUTE(PasteHere!C203,"\&amp;quot;","''")</f>
        <v/>
      </c>
    </row>
    <row r="204" spans="1:2">
      <c r="A204" s="7" t="str">
        <f>SUBSTITUTE(PasteHere!B204,"\&amp;quot;","''")</f>
        <v/>
      </c>
      <c r="B204" s="7" t="str">
        <f>SUBSTITUTE(PasteHere!C204,"\&amp;quot;","''")</f>
        <v/>
      </c>
    </row>
    <row r="205" spans="1:2">
      <c r="A205" s="7" t="str">
        <f>SUBSTITUTE(PasteHere!B205,"\&amp;quot;","''")</f>
        <v/>
      </c>
      <c r="B205" s="7" t="str">
        <f>SUBSTITUTE(PasteHere!C205,"\&amp;quot;","''")</f>
        <v/>
      </c>
    </row>
    <row r="206" spans="1:2">
      <c r="A206" s="7" t="str">
        <f>SUBSTITUTE(PasteHere!B206,"\&amp;quot;","''")</f>
        <v/>
      </c>
      <c r="B206" s="7" t="str">
        <f>SUBSTITUTE(PasteHere!C206,"\&amp;quot;","''")</f>
        <v/>
      </c>
    </row>
    <row r="207" spans="1:2">
      <c r="A207" s="7" t="str">
        <f>SUBSTITUTE(PasteHere!B207,"\&amp;quot;","''")</f>
        <v/>
      </c>
      <c r="B207" s="7" t="str">
        <f>SUBSTITUTE(PasteHere!C207,"\&amp;quot;","''")</f>
        <v/>
      </c>
    </row>
    <row r="208" spans="1:2">
      <c r="A208" s="7" t="str">
        <f>SUBSTITUTE(PasteHere!B208,"\&amp;quot;","''")</f>
        <v/>
      </c>
      <c r="B208" s="7" t="str">
        <f>SUBSTITUTE(PasteHere!C208,"\&amp;quot;","''")</f>
        <v/>
      </c>
    </row>
    <row r="209" spans="1:2">
      <c r="A209" s="7" t="str">
        <f>SUBSTITUTE(PasteHere!B209,"\&amp;quot;","''")</f>
        <v/>
      </c>
      <c r="B209" s="7" t="str">
        <f>SUBSTITUTE(PasteHere!C209,"\&amp;quot;","''")</f>
        <v/>
      </c>
    </row>
    <row r="210" spans="1:2">
      <c r="A210" s="7" t="str">
        <f>SUBSTITUTE(PasteHere!B210,"\&amp;quot;","''")</f>
        <v/>
      </c>
      <c r="B210" s="7" t="str">
        <f>SUBSTITUTE(PasteHere!C210,"\&amp;quot;","''")</f>
        <v/>
      </c>
    </row>
    <row r="211" spans="1:2">
      <c r="A211" s="7" t="str">
        <f>SUBSTITUTE(PasteHere!B211,"\&amp;quot;","''")</f>
        <v/>
      </c>
      <c r="B211" s="7" t="str">
        <f>SUBSTITUTE(PasteHere!C211,"\&amp;quot;","''")</f>
        <v/>
      </c>
    </row>
    <row r="212" spans="1:2">
      <c r="A212" s="7" t="str">
        <f>SUBSTITUTE(PasteHere!B212,"\&amp;quot;","''")</f>
        <v/>
      </c>
      <c r="B212" s="7" t="str">
        <f>SUBSTITUTE(PasteHere!C212,"\&amp;quot;","''")</f>
        <v/>
      </c>
    </row>
    <row r="213" spans="1:2">
      <c r="A213" s="7" t="str">
        <f>SUBSTITUTE(PasteHere!B213,"\&amp;quot;","''")</f>
        <v/>
      </c>
      <c r="B213" s="7" t="str">
        <f>SUBSTITUTE(PasteHere!C213,"\&amp;quot;","''")</f>
        <v/>
      </c>
    </row>
    <row r="214" spans="1:2">
      <c r="A214" s="7" t="str">
        <f>SUBSTITUTE(PasteHere!B214,"\&amp;quot;","''")</f>
        <v/>
      </c>
      <c r="B214" s="7" t="str">
        <f>SUBSTITUTE(PasteHere!C214,"\&amp;quot;","''")</f>
        <v/>
      </c>
    </row>
    <row r="215" spans="1:2">
      <c r="A215" s="7" t="str">
        <f>SUBSTITUTE(PasteHere!B215,"\&amp;quot;","''")</f>
        <v/>
      </c>
      <c r="B215" s="7" t="str">
        <f>SUBSTITUTE(PasteHere!C215,"\&amp;quot;","''")</f>
        <v/>
      </c>
    </row>
    <row r="216" spans="1:2">
      <c r="A216" s="7" t="str">
        <f>SUBSTITUTE(PasteHere!B216,"\&amp;quot;","''")</f>
        <v/>
      </c>
      <c r="B216" s="7" t="str">
        <f>SUBSTITUTE(PasteHere!C216,"\&amp;quot;","''")</f>
        <v/>
      </c>
    </row>
    <row r="217" spans="1:2">
      <c r="A217" s="7" t="str">
        <f>SUBSTITUTE(PasteHere!B217,"\&amp;quot;","''")</f>
        <v/>
      </c>
      <c r="B217" s="7" t="str">
        <f>SUBSTITUTE(PasteHere!C217,"\&amp;quot;","''")</f>
        <v/>
      </c>
    </row>
    <row r="218" spans="1:2">
      <c r="A218" s="7" t="str">
        <f>SUBSTITUTE(PasteHere!B218,"\&amp;quot;","''")</f>
        <v/>
      </c>
      <c r="B218" s="7" t="str">
        <f>SUBSTITUTE(PasteHere!C218,"\&amp;quot;","''")</f>
        <v/>
      </c>
    </row>
    <row r="219" spans="1:2">
      <c r="A219" s="7" t="str">
        <f>SUBSTITUTE(PasteHere!B219,"\&amp;quot;","''")</f>
        <v/>
      </c>
      <c r="B219" s="7" t="str">
        <f>SUBSTITUTE(PasteHere!C219,"\&amp;quot;","''")</f>
        <v/>
      </c>
    </row>
    <row r="220" spans="1:2">
      <c r="A220" s="7" t="str">
        <f>SUBSTITUTE(PasteHere!B220,"\&amp;quot;","''")</f>
        <v/>
      </c>
      <c r="B220" s="7" t="str">
        <f>SUBSTITUTE(PasteHere!C220,"\&amp;quot;","''")</f>
        <v/>
      </c>
    </row>
    <row r="221" spans="1:2">
      <c r="A221" s="7" t="str">
        <f>SUBSTITUTE(PasteHere!B221,"\&amp;quot;","''")</f>
        <v/>
      </c>
      <c r="B221" s="7" t="str">
        <f>SUBSTITUTE(PasteHere!C221,"\&amp;quot;","''")</f>
        <v/>
      </c>
    </row>
    <row r="222" spans="1:2">
      <c r="A222" s="7" t="str">
        <f>SUBSTITUTE(PasteHere!B222,"\&amp;quot;","''")</f>
        <v/>
      </c>
      <c r="B222" s="7" t="str">
        <f>SUBSTITUTE(PasteHere!C222,"\&amp;quot;","''")</f>
        <v/>
      </c>
    </row>
    <row r="223" spans="1:2">
      <c r="A223" s="7" t="str">
        <f>SUBSTITUTE(PasteHere!B223,"\&amp;quot;","''")</f>
        <v/>
      </c>
      <c r="B223" s="7" t="str">
        <f>SUBSTITUTE(PasteHere!C223,"\&amp;quot;","''")</f>
        <v/>
      </c>
    </row>
    <row r="224" spans="1:2">
      <c r="A224" s="7" t="str">
        <f>SUBSTITUTE(PasteHere!B224,"\&amp;quot;","''")</f>
        <v/>
      </c>
      <c r="B224" s="7" t="str">
        <f>SUBSTITUTE(PasteHere!C224,"\&amp;quot;","''")</f>
        <v/>
      </c>
    </row>
    <row r="225" spans="1:2">
      <c r="A225" s="7" t="str">
        <f>SUBSTITUTE(PasteHere!B225,"\&amp;quot;","''")</f>
        <v/>
      </c>
      <c r="B225" s="7" t="str">
        <f>SUBSTITUTE(PasteHere!C225,"\&amp;quot;","''")</f>
        <v/>
      </c>
    </row>
    <row r="226" spans="1:2">
      <c r="A226" s="7" t="str">
        <f>SUBSTITUTE(PasteHere!B226,"\&amp;quot;","''")</f>
        <v/>
      </c>
      <c r="B226" s="7" t="str">
        <f>SUBSTITUTE(PasteHere!C226,"\&amp;quot;","''")</f>
        <v/>
      </c>
    </row>
    <row r="227" spans="1:2">
      <c r="A227" s="7" t="str">
        <f>SUBSTITUTE(PasteHere!B227,"\&amp;quot;","''")</f>
        <v/>
      </c>
      <c r="B227" s="7" t="str">
        <f>SUBSTITUTE(PasteHere!C227,"\&amp;quot;","''")</f>
        <v/>
      </c>
    </row>
    <row r="228" spans="1:2">
      <c r="A228" s="7" t="str">
        <f>SUBSTITUTE(PasteHere!B228,"\&amp;quot;","''")</f>
        <v/>
      </c>
      <c r="B228" s="7" t="str">
        <f>SUBSTITUTE(PasteHere!C228,"\&amp;quot;","''")</f>
        <v/>
      </c>
    </row>
    <row r="229" spans="1:2">
      <c r="A229" s="7" t="str">
        <f>SUBSTITUTE(PasteHere!B229,"\&amp;quot;","''")</f>
        <v/>
      </c>
      <c r="B229" s="7" t="str">
        <f>SUBSTITUTE(PasteHere!C229,"\&amp;quot;","''")</f>
        <v/>
      </c>
    </row>
    <row r="230" spans="1:2">
      <c r="A230" s="7" t="str">
        <f>SUBSTITUTE(PasteHere!B230,"\&amp;quot;","''")</f>
        <v/>
      </c>
      <c r="B230" s="7" t="str">
        <f>SUBSTITUTE(PasteHere!C230,"\&amp;quot;","''")</f>
        <v/>
      </c>
    </row>
    <row r="231" spans="1:2">
      <c r="A231" s="7" t="str">
        <f>SUBSTITUTE(PasteHere!B231,"\&amp;quot;","''")</f>
        <v/>
      </c>
      <c r="B231" s="7" t="str">
        <f>SUBSTITUTE(PasteHere!C231,"\&amp;quot;","''")</f>
        <v/>
      </c>
    </row>
    <row r="232" spans="1:2">
      <c r="A232" s="7" t="str">
        <f>SUBSTITUTE(PasteHere!B232,"\&amp;quot;","''")</f>
        <v/>
      </c>
      <c r="B232" s="7" t="str">
        <f>SUBSTITUTE(PasteHere!C232,"\&amp;quot;","''")</f>
        <v/>
      </c>
    </row>
    <row r="233" spans="1:2">
      <c r="A233" s="7" t="str">
        <f>SUBSTITUTE(PasteHere!B233,"\&amp;quot;","''")</f>
        <v/>
      </c>
      <c r="B233" s="7" t="str">
        <f>SUBSTITUTE(PasteHere!C233,"\&amp;quot;","''")</f>
        <v/>
      </c>
    </row>
    <row r="234" spans="1:2">
      <c r="A234" s="7" t="str">
        <f>SUBSTITUTE(PasteHere!B234,"\&amp;quot;","''")</f>
        <v/>
      </c>
      <c r="B234" s="7" t="str">
        <f>SUBSTITUTE(PasteHere!C234,"\&amp;quot;","''")</f>
        <v/>
      </c>
    </row>
    <row r="235" spans="1:2">
      <c r="A235" s="7" t="str">
        <f>SUBSTITUTE(PasteHere!B235,"\&amp;quot;","''")</f>
        <v/>
      </c>
      <c r="B235" s="7" t="str">
        <f>SUBSTITUTE(PasteHere!C235,"\&amp;quot;","''")</f>
        <v/>
      </c>
    </row>
    <row r="236" spans="1:2">
      <c r="A236" s="7" t="str">
        <f>SUBSTITUTE(PasteHere!B236,"\&amp;quot;","''")</f>
        <v/>
      </c>
      <c r="B236" s="7" t="str">
        <f>SUBSTITUTE(PasteHere!C236,"\&amp;quot;","''")</f>
        <v/>
      </c>
    </row>
    <row r="237" spans="1:2">
      <c r="A237" s="7" t="str">
        <f>SUBSTITUTE(PasteHere!B237,"\&amp;quot;","''")</f>
        <v/>
      </c>
      <c r="B237" s="7" t="str">
        <f>SUBSTITUTE(PasteHere!C237,"\&amp;quot;","''")</f>
        <v/>
      </c>
    </row>
    <row r="238" spans="1:2">
      <c r="A238" s="7" t="str">
        <f>SUBSTITUTE(PasteHere!B238,"\&amp;quot;","''")</f>
        <v/>
      </c>
      <c r="B238" s="7" t="str">
        <f>SUBSTITUTE(PasteHere!C238,"\&amp;quot;","''")</f>
        <v/>
      </c>
    </row>
    <row r="239" spans="1:2">
      <c r="A239" s="7" t="str">
        <f>SUBSTITUTE(PasteHere!B239,"\&amp;quot;","''")</f>
        <v/>
      </c>
      <c r="B239" s="7" t="str">
        <f>SUBSTITUTE(PasteHere!C239,"\&amp;quot;","''")</f>
        <v/>
      </c>
    </row>
    <row r="240" spans="1:2">
      <c r="A240" s="7" t="str">
        <f>SUBSTITUTE(PasteHere!B240,"\&amp;quot;","''")</f>
        <v/>
      </c>
      <c r="B240" s="7" t="str">
        <f>SUBSTITUTE(PasteHere!C240,"\&amp;quot;","''")</f>
        <v/>
      </c>
    </row>
    <row r="241" spans="1:2">
      <c r="A241" s="7" t="str">
        <f>SUBSTITUTE(PasteHere!B241,"\&amp;quot;","''")</f>
        <v/>
      </c>
      <c r="B241" s="7" t="str">
        <f>SUBSTITUTE(PasteHere!C241,"\&amp;quot;","''")</f>
        <v/>
      </c>
    </row>
    <row r="242" spans="1:2">
      <c r="A242" s="7" t="str">
        <f>SUBSTITUTE(PasteHere!B242,"\&amp;quot;","''")</f>
        <v/>
      </c>
      <c r="B242" s="7" t="str">
        <f>SUBSTITUTE(PasteHere!C242,"\&amp;quot;","''")</f>
        <v/>
      </c>
    </row>
    <row r="243" spans="1:2">
      <c r="A243" s="7" t="str">
        <f>SUBSTITUTE(PasteHere!B243,"\&amp;quot;","''")</f>
        <v/>
      </c>
      <c r="B243" s="7" t="str">
        <f>SUBSTITUTE(PasteHere!C243,"\&amp;quot;","''")</f>
        <v/>
      </c>
    </row>
    <row r="244" spans="1:2">
      <c r="A244" s="7" t="str">
        <f>SUBSTITUTE(PasteHere!B244,"\&amp;quot;","''")</f>
        <v/>
      </c>
      <c r="B244" s="7" t="str">
        <f>SUBSTITUTE(PasteHere!C244,"\&amp;quot;","''")</f>
        <v/>
      </c>
    </row>
    <row r="245" spans="1:2">
      <c r="A245" s="7" t="str">
        <f>SUBSTITUTE(PasteHere!B245,"\&amp;quot;","''")</f>
        <v/>
      </c>
      <c r="B245" s="7" t="str">
        <f>SUBSTITUTE(PasteHere!C245,"\&amp;quot;","''")</f>
        <v/>
      </c>
    </row>
    <row r="246" spans="1:2">
      <c r="A246" s="7" t="str">
        <f>SUBSTITUTE(PasteHere!B246,"\&amp;quot;","''")</f>
        <v/>
      </c>
      <c r="B246" s="7" t="str">
        <f>SUBSTITUTE(PasteHere!C246,"\&amp;quot;","''")</f>
        <v/>
      </c>
    </row>
    <row r="247" spans="1:2">
      <c r="A247" s="7" t="str">
        <f>SUBSTITUTE(PasteHere!B247,"\&amp;quot;","''")</f>
        <v/>
      </c>
      <c r="B247" s="7" t="str">
        <f>SUBSTITUTE(PasteHere!C247,"\&amp;quot;","''")</f>
        <v/>
      </c>
    </row>
    <row r="248" spans="1:2">
      <c r="A248" s="7" t="str">
        <f>SUBSTITUTE(PasteHere!B248,"\&amp;quot;","''")</f>
        <v/>
      </c>
      <c r="B248" s="7" t="str">
        <f>SUBSTITUTE(PasteHere!C248,"\&amp;quot;","''")</f>
        <v/>
      </c>
    </row>
    <row r="249" spans="1:2">
      <c r="A249" s="7" t="str">
        <f>SUBSTITUTE(PasteHere!B249,"\&amp;quot;","''")</f>
        <v/>
      </c>
      <c r="B249" s="7" t="str">
        <f>SUBSTITUTE(PasteHere!C249,"\&amp;quot;","''")</f>
        <v/>
      </c>
    </row>
    <row r="250" spans="1:2">
      <c r="A250" s="7" t="str">
        <f>SUBSTITUTE(PasteHere!B250,"\&amp;quot;","''")</f>
        <v/>
      </c>
      <c r="B250" s="7" t="str">
        <f>SUBSTITUTE(PasteHere!C250,"\&amp;quot;","''")</f>
        <v/>
      </c>
    </row>
    <row r="251" spans="1:2">
      <c r="A251" s="7" t="str">
        <f>SUBSTITUTE(PasteHere!B251,"\&amp;quot;","''")</f>
        <v/>
      </c>
      <c r="B251" s="7" t="str">
        <f>SUBSTITUTE(PasteHere!C251,"\&amp;quot;","''")</f>
        <v/>
      </c>
    </row>
    <row r="252" spans="1:2">
      <c r="A252" s="7" t="str">
        <f>SUBSTITUTE(PasteHere!B252,"\&amp;quot;","''")</f>
        <v/>
      </c>
      <c r="B252" s="7" t="str">
        <f>SUBSTITUTE(PasteHere!C252,"\&amp;quot;","''")</f>
        <v/>
      </c>
    </row>
    <row r="253" spans="1:2">
      <c r="A253" s="7" t="str">
        <f>SUBSTITUTE(PasteHere!B253,"\&amp;quot;","''")</f>
        <v/>
      </c>
      <c r="B253" s="7" t="str">
        <f>SUBSTITUTE(PasteHere!C253,"\&amp;quot;","''")</f>
        <v/>
      </c>
    </row>
    <row r="254" spans="1:2">
      <c r="A254" s="7" t="str">
        <f>SUBSTITUTE(PasteHere!B254,"\&amp;quot;","''")</f>
        <v/>
      </c>
      <c r="B254" s="7" t="str">
        <f>SUBSTITUTE(PasteHere!C254,"\&amp;quot;","''")</f>
        <v/>
      </c>
    </row>
    <row r="255" spans="1:2">
      <c r="A255" s="7" t="str">
        <f>SUBSTITUTE(PasteHere!B255,"\&amp;quot;","''")</f>
        <v/>
      </c>
      <c r="B255" s="7" t="str">
        <f>SUBSTITUTE(PasteHere!C255,"\&amp;quot;","''")</f>
        <v/>
      </c>
    </row>
    <row r="256" spans="1:2">
      <c r="A256" s="7" t="str">
        <f>SUBSTITUTE(PasteHere!B256,"\&amp;quot;","''")</f>
        <v/>
      </c>
      <c r="B256" s="7" t="str">
        <f>SUBSTITUTE(PasteHere!C256,"\&amp;quot;","''")</f>
        <v/>
      </c>
    </row>
    <row r="257" spans="1:2">
      <c r="A257" s="7" t="str">
        <f>SUBSTITUTE(PasteHere!B257,"\&amp;quot;","''")</f>
        <v/>
      </c>
      <c r="B257" s="7" t="str">
        <f>SUBSTITUTE(PasteHere!C257,"\&amp;quot;","''")</f>
        <v/>
      </c>
    </row>
    <row r="258" spans="1:2">
      <c r="A258" s="7" t="str">
        <f>SUBSTITUTE(PasteHere!B258,"\&amp;quot;","''")</f>
        <v/>
      </c>
      <c r="B258" s="7" t="str">
        <f>SUBSTITUTE(PasteHere!C258,"\&amp;quot;","''")</f>
        <v/>
      </c>
    </row>
    <row r="259" spans="1:2">
      <c r="A259" s="7" t="str">
        <f>SUBSTITUTE(PasteHere!B259,"\&amp;quot;","''")</f>
        <v/>
      </c>
      <c r="B259" s="7" t="str">
        <f>SUBSTITUTE(PasteHere!C259,"\&amp;quot;","''")</f>
        <v/>
      </c>
    </row>
    <row r="260" spans="1:2">
      <c r="A260" s="7" t="str">
        <f>SUBSTITUTE(PasteHere!B260,"\&amp;quot;","''")</f>
        <v/>
      </c>
      <c r="B260" s="7" t="str">
        <f>SUBSTITUTE(PasteHere!C260,"\&amp;quot;","''")</f>
        <v/>
      </c>
    </row>
    <row r="261" spans="1:2">
      <c r="A261" s="7" t="str">
        <f>SUBSTITUTE(PasteHere!B261,"\&amp;quot;","''")</f>
        <v/>
      </c>
      <c r="B261" s="7" t="str">
        <f>SUBSTITUTE(PasteHere!C261,"\&amp;quot;","''")</f>
        <v/>
      </c>
    </row>
    <row r="262" spans="1:2">
      <c r="A262" s="7" t="str">
        <f>SUBSTITUTE(PasteHere!B262,"\&amp;quot;","''")</f>
        <v/>
      </c>
      <c r="B262" s="7" t="str">
        <f>SUBSTITUTE(PasteHere!C262,"\&amp;quot;","''")</f>
        <v/>
      </c>
    </row>
    <row r="263" spans="1:2">
      <c r="A263" s="7" t="str">
        <f>SUBSTITUTE(PasteHere!B263,"\&amp;quot;","''")</f>
        <v/>
      </c>
      <c r="B263" s="7" t="str">
        <f>SUBSTITUTE(PasteHere!C263,"\&amp;quot;","''")</f>
        <v/>
      </c>
    </row>
    <row r="264" spans="1:2">
      <c r="A264" s="7" t="str">
        <f>SUBSTITUTE(PasteHere!B264,"\&amp;quot;","''")</f>
        <v/>
      </c>
      <c r="B264" s="7" t="str">
        <f>SUBSTITUTE(PasteHere!C264,"\&amp;quot;","''")</f>
        <v/>
      </c>
    </row>
    <row r="265" spans="1:2">
      <c r="A265" s="7" t="str">
        <f>SUBSTITUTE(PasteHere!B265,"\&amp;quot;","''")</f>
        <v/>
      </c>
      <c r="B265" s="7" t="str">
        <f>SUBSTITUTE(PasteHere!C265,"\&amp;quot;","''")</f>
        <v/>
      </c>
    </row>
    <row r="266" spans="1:2">
      <c r="A266" s="7" t="str">
        <f>SUBSTITUTE(PasteHere!B266,"\&amp;quot;","''")</f>
        <v/>
      </c>
      <c r="B266" s="7" t="str">
        <f>SUBSTITUTE(PasteHere!C266,"\&amp;quot;","''")</f>
        <v/>
      </c>
    </row>
    <row r="267" spans="1:2">
      <c r="A267" s="7" t="str">
        <f>SUBSTITUTE(PasteHere!B267,"\&amp;quot;","''")</f>
        <v/>
      </c>
      <c r="B267" s="7" t="str">
        <f>SUBSTITUTE(PasteHere!C267,"\&amp;quot;","''")</f>
        <v/>
      </c>
    </row>
    <row r="268" spans="1:2">
      <c r="A268" s="7" t="str">
        <f>SUBSTITUTE(PasteHere!B268,"\&amp;quot;","''")</f>
        <v/>
      </c>
      <c r="B268" s="7" t="str">
        <f>SUBSTITUTE(PasteHere!C268,"\&amp;quot;","''")</f>
        <v/>
      </c>
    </row>
    <row r="269" spans="1:2">
      <c r="A269" s="7" t="str">
        <f>SUBSTITUTE(PasteHere!B269,"\&amp;quot;","''")</f>
        <v/>
      </c>
      <c r="B269" s="7" t="str">
        <f>SUBSTITUTE(PasteHere!C269,"\&amp;quot;","''")</f>
        <v/>
      </c>
    </row>
    <row r="270" spans="1:2">
      <c r="A270" s="7" t="str">
        <f>SUBSTITUTE(PasteHere!B270,"\&amp;quot;","''")</f>
        <v/>
      </c>
      <c r="B270" s="7" t="str">
        <f>SUBSTITUTE(PasteHere!C270,"\&amp;quot;","''")</f>
        <v/>
      </c>
    </row>
    <row r="271" spans="1:2">
      <c r="A271" s="7" t="str">
        <f>SUBSTITUTE(PasteHere!B271,"\&amp;quot;","''")</f>
        <v/>
      </c>
      <c r="B271" s="7" t="str">
        <f>SUBSTITUTE(PasteHere!C271,"\&amp;quot;","''")</f>
        <v/>
      </c>
    </row>
    <row r="272" spans="1:2">
      <c r="A272" s="7" t="str">
        <f>SUBSTITUTE(PasteHere!B272,"\&amp;quot;","''")</f>
        <v/>
      </c>
      <c r="B272" s="7" t="str">
        <f>SUBSTITUTE(PasteHere!C272,"\&amp;quot;","''")</f>
        <v/>
      </c>
    </row>
    <row r="273" spans="1:2">
      <c r="A273" s="7" t="str">
        <f>SUBSTITUTE(PasteHere!B273,"\&amp;quot;","''")</f>
        <v/>
      </c>
      <c r="B273" s="7" t="str">
        <f>SUBSTITUTE(PasteHere!C273,"\&amp;quot;","''")</f>
        <v/>
      </c>
    </row>
    <row r="274" spans="1:2">
      <c r="A274" s="7" t="str">
        <f>SUBSTITUTE(PasteHere!B274,"\&amp;quot;","''")</f>
        <v/>
      </c>
      <c r="B274" s="7" t="str">
        <f>SUBSTITUTE(PasteHere!C274,"\&amp;quot;","''")</f>
        <v/>
      </c>
    </row>
    <row r="275" spans="1:2">
      <c r="A275" s="7" t="str">
        <f>SUBSTITUTE(PasteHere!B275,"\&amp;quot;","''")</f>
        <v/>
      </c>
      <c r="B275" s="7" t="str">
        <f>SUBSTITUTE(PasteHere!C275,"\&amp;quot;","''")</f>
        <v/>
      </c>
    </row>
    <row r="276" spans="1:2">
      <c r="A276" s="7" t="str">
        <f>SUBSTITUTE(PasteHere!B276,"\&amp;quot;","''")</f>
        <v/>
      </c>
      <c r="B276" s="7" t="str">
        <f>SUBSTITUTE(PasteHere!C276,"\&amp;quot;","''")</f>
        <v/>
      </c>
    </row>
    <row r="277" spans="1:2">
      <c r="A277" s="7" t="str">
        <f>SUBSTITUTE(PasteHere!B277,"\&amp;quot;","''")</f>
        <v/>
      </c>
      <c r="B277" s="7" t="str">
        <f>SUBSTITUTE(PasteHere!C277,"\&amp;quot;","''")</f>
        <v/>
      </c>
    </row>
    <row r="278" spans="1:2">
      <c r="A278" s="7" t="str">
        <f>SUBSTITUTE(PasteHere!B278,"\&amp;quot;","''")</f>
        <v/>
      </c>
      <c r="B278" s="7" t="str">
        <f>SUBSTITUTE(PasteHere!C278,"\&amp;quot;","''")</f>
        <v/>
      </c>
    </row>
    <row r="279" spans="1:2">
      <c r="A279" s="7" t="str">
        <f>SUBSTITUTE(PasteHere!B279,"\&amp;quot;","''")</f>
        <v/>
      </c>
      <c r="B279" s="7" t="str">
        <f>SUBSTITUTE(PasteHere!C279,"\&amp;quot;","''")</f>
        <v/>
      </c>
    </row>
    <row r="280" spans="1:2">
      <c r="A280" s="7" t="str">
        <f>SUBSTITUTE(PasteHere!B280,"\&amp;quot;","''")</f>
        <v/>
      </c>
      <c r="B280" s="7" t="str">
        <f>SUBSTITUTE(PasteHere!C280,"\&amp;quot;","''")</f>
        <v/>
      </c>
    </row>
    <row r="281" spans="1:2">
      <c r="A281" s="7" t="str">
        <f>SUBSTITUTE(PasteHere!B281,"\&amp;quot;","''")</f>
        <v/>
      </c>
      <c r="B281" s="7" t="str">
        <f>SUBSTITUTE(PasteHere!C281,"\&amp;quot;","''")</f>
        <v/>
      </c>
    </row>
    <row r="282" spans="1:2">
      <c r="A282" s="7" t="str">
        <f>SUBSTITUTE(PasteHere!B282,"\&amp;quot;","''")</f>
        <v/>
      </c>
      <c r="B282" s="7" t="str">
        <f>SUBSTITUTE(PasteHere!C282,"\&amp;quot;","''")</f>
        <v/>
      </c>
    </row>
    <row r="283" spans="1:2">
      <c r="A283" s="7" t="str">
        <f>SUBSTITUTE(PasteHere!B283,"\&amp;quot;","''")</f>
        <v/>
      </c>
      <c r="B283" s="7" t="str">
        <f>SUBSTITUTE(PasteHere!C283,"\&amp;quot;","''")</f>
        <v/>
      </c>
    </row>
    <row r="284" spans="1:2">
      <c r="A284" s="7" t="str">
        <f>SUBSTITUTE(PasteHere!B284,"\&amp;quot;","''")</f>
        <v/>
      </c>
      <c r="B284" s="7" t="str">
        <f>SUBSTITUTE(PasteHere!C284,"\&amp;quot;","''")</f>
        <v/>
      </c>
    </row>
    <row r="285" spans="1:2">
      <c r="A285" s="7" t="str">
        <f>SUBSTITUTE(PasteHere!B285,"\&amp;quot;","''")</f>
        <v/>
      </c>
      <c r="B285" s="7" t="str">
        <f>SUBSTITUTE(PasteHere!C285,"\&amp;quot;","''")</f>
        <v/>
      </c>
    </row>
    <row r="286" spans="1:2">
      <c r="A286" s="7" t="str">
        <f>SUBSTITUTE(PasteHere!B286,"\&amp;quot;","''")</f>
        <v/>
      </c>
      <c r="B286" s="7" t="str">
        <f>SUBSTITUTE(PasteHere!C286,"\&amp;quot;","''")</f>
        <v/>
      </c>
    </row>
    <row r="287" spans="1:2">
      <c r="A287" s="7" t="str">
        <f>SUBSTITUTE(PasteHere!B287,"\&amp;quot;","''")</f>
        <v/>
      </c>
      <c r="B287" s="7" t="str">
        <f>SUBSTITUTE(PasteHere!C287,"\&amp;quot;","''")</f>
        <v/>
      </c>
    </row>
    <row r="288" spans="1:2">
      <c r="A288" s="7" t="str">
        <f>SUBSTITUTE(PasteHere!B288,"\&amp;quot;","''")</f>
        <v/>
      </c>
      <c r="B288" s="7" t="str">
        <f>SUBSTITUTE(PasteHere!C288,"\&amp;quot;","''")</f>
        <v/>
      </c>
    </row>
    <row r="289" spans="1:2">
      <c r="A289" s="7" t="str">
        <f>SUBSTITUTE(PasteHere!B289,"\&amp;quot;","''")</f>
        <v/>
      </c>
      <c r="B289" s="7" t="str">
        <f>SUBSTITUTE(PasteHere!C289,"\&amp;quot;","''")</f>
        <v/>
      </c>
    </row>
    <row r="290" spans="1:2">
      <c r="A290" s="7" t="str">
        <f>SUBSTITUTE(PasteHere!B290,"\&amp;quot;","''")</f>
        <v/>
      </c>
      <c r="B290" s="7" t="str">
        <f>SUBSTITUTE(PasteHere!C290,"\&amp;quot;","''")</f>
        <v/>
      </c>
    </row>
    <row r="291" spans="1:2">
      <c r="A291" s="7" t="str">
        <f>SUBSTITUTE(PasteHere!B291,"\&amp;quot;","''")</f>
        <v/>
      </c>
      <c r="B291" s="7" t="str">
        <f>SUBSTITUTE(PasteHere!C291,"\&amp;quot;","''")</f>
        <v/>
      </c>
    </row>
    <row r="292" spans="1:2">
      <c r="A292" s="7" t="str">
        <f>SUBSTITUTE(PasteHere!B292,"\&amp;quot;","''")</f>
        <v/>
      </c>
      <c r="B292" s="7" t="str">
        <f>SUBSTITUTE(PasteHere!C292,"\&amp;quot;","''")</f>
        <v/>
      </c>
    </row>
    <row r="293" spans="1:2">
      <c r="A293" s="7" t="str">
        <f>SUBSTITUTE(PasteHere!B293,"\&amp;quot;","''")</f>
        <v/>
      </c>
      <c r="B293" s="7" t="str">
        <f>SUBSTITUTE(PasteHere!C293,"\&amp;quot;","''")</f>
        <v/>
      </c>
    </row>
    <row r="294" spans="1:2">
      <c r="A294" s="7" t="str">
        <f>SUBSTITUTE(PasteHere!B294,"\&amp;quot;","''")</f>
        <v/>
      </c>
      <c r="B294" s="7" t="str">
        <f>SUBSTITUTE(PasteHere!C294,"\&amp;quot;","''")</f>
        <v/>
      </c>
    </row>
    <row r="295" spans="1:2">
      <c r="A295" s="7" t="str">
        <f>SUBSTITUTE(PasteHere!B295,"\&amp;quot;","''")</f>
        <v/>
      </c>
      <c r="B295" s="7" t="str">
        <f>SUBSTITUTE(PasteHere!C295,"\&amp;quot;","''")</f>
        <v/>
      </c>
    </row>
    <row r="296" spans="1:2">
      <c r="A296" s="7" t="str">
        <f>SUBSTITUTE(PasteHere!B296,"\&amp;quot;","''")</f>
        <v/>
      </c>
      <c r="B296" s="7" t="str">
        <f>SUBSTITUTE(PasteHere!C296,"\&amp;quot;","''")</f>
        <v/>
      </c>
    </row>
    <row r="297" spans="1:2">
      <c r="A297" s="7" t="str">
        <f>SUBSTITUTE(PasteHere!B297,"\&amp;quot;","''")</f>
        <v/>
      </c>
      <c r="B297" s="7" t="str">
        <f>SUBSTITUTE(PasteHere!C297,"\&amp;quot;","''")</f>
        <v/>
      </c>
    </row>
    <row r="298" spans="1:2">
      <c r="A298" s="7" t="str">
        <f>SUBSTITUTE(PasteHere!B298,"\&amp;quot;","''")</f>
        <v/>
      </c>
      <c r="B298" s="7" t="str">
        <f>SUBSTITUTE(PasteHere!C298,"\&amp;quot;","''")</f>
        <v/>
      </c>
    </row>
    <row r="299" spans="1:2">
      <c r="A299" s="7" t="str">
        <f>SUBSTITUTE(PasteHere!B299,"\&amp;quot;","''")</f>
        <v/>
      </c>
      <c r="B299" s="7" t="str">
        <f>SUBSTITUTE(PasteHere!C299,"\&amp;quot;","''")</f>
        <v/>
      </c>
    </row>
    <row r="300" spans="1:2">
      <c r="A300" s="7" t="str">
        <f>SUBSTITUTE(PasteHere!B300,"\&amp;quot;","''")</f>
        <v/>
      </c>
      <c r="B300" s="7" t="str">
        <f>SUBSTITUTE(PasteHere!C300,"\&amp;quot;","''")</f>
        <v/>
      </c>
    </row>
    <row r="301" spans="1:2">
      <c r="A301" s="7" t="str">
        <f>SUBSTITUTE(PasteHere!B301,"\&amp;quot;","''")</f>
        <v/>
      </c>
      <c r="B301" s="7" t="str">
        <f>SUBSTITUTE(PasteHere!C301,"\&amp;quot;","''")</f>
        <v/>
      </c>
    </row>
    <row r="302" spans="1:2">
      <c r="A302" s="7" t="str">
        <f>SUBSTITUTE(PasteHere!B302,"\&amp;quot;","''")</f>
        <v/>
      </c>
      <c r="B302" s="7" t="str">
        <f>SUBSTITUTE(PasteHere!C302,"\&amp;quot;","''")</f>
        <v/>
      </c>
    </row>
    <row r="303" spans="1:2">
      <c r="A303" s="7" t="str">
        <f>SUBSTITUTE(PasteHere!B303,"\&amp;quot;","''")</f>
        <v/>
      </c>
      <c r="B303" s="7" t="str">
        <f>SUBSTITUTE(PasteHere!C303,"\&amp;quot;","''")</f>
        <v/>
      </c>
    </row>
    <row r="304" spans="1:2">
      <c r="A304" s="7" t="str">
        <f>SUBSTITUTE(PasteHere!B304,"\&amp;quot;","''")</f>
        <v/>
      </c>
      <c r="B304" s="7" t="str">
        <f>SUBSTITUTE(PasteHere!C304,"\&amp;quot;","''")</f>
        <v/>
      </c>
    </row>
    <row r="305" spans="1:2">
      <c r="A305" s="7" t="str">
        <f>SUBSTITUTE(PasteHere!B305,"\&amp;quot;","''")</f>
        <v/>
      </c>
      <c r="B305" s="7" t="str">
        <f>SUBSTITUTE(PasteHere!C305,"\&amp;quot;","''")</f>
        <v/>
      </c>
    </row>
    <row r="306" spans="1:2">
      <c r="A306" s="7" t="str">
        <f>SUBSTITUTE(PasteHere!B306,"\&amp;quot;","''")</f>
        <v/>
      </c>
      <c r="B306" s="7" t="str">
        <f>SUBSTITUTE(PasteHere!C306,"\&amp;quot;","''")</f>
        <v/>
      </c>
    </row>
    <row r="307" spans="1:2">
      <c r="A307" s="7" t="str">
        <f>SUBSTITUTE(PasteHere!B307,"\&amp;quot;","''")</f>
        <v/>
      </c>
      <c r="B307" s="7" t="str">
        <f>SUBSTITUTE(PasteHere!C307,"\&amp;quot;","''")</f>
        <v/>
      </c>
    </row>
    <row r="308" spans="1:2">
      <c r="A308" s="7" t="str">
        <f>SUBSTITUTE(PasteHere!B308,"\&amp;quot;","''")</f>
        <v/>
      </c>
      <c r="B308" s="7" t="str">
        <f>SUBSTITUTE(PasteHere!C308,"\&amp;quot;","''")</f>
        <v/>
      </c>
    </row>
    <row r="309" spans="1:2">
      <c r="A309" s="7" t="str">
        <f>SUBSTITUTE(PasteHere!B309,"\&amp;quot;","''")</f>
        <v/>
      </c>
      <c r="B309" s="7" t="str">
        <f>SUBSTITUTE(PasteHere!C309,"\&amp;quot;","''")</f>
        <v/>
      </c>
    </row>
    <row r="310" spans="1:2">
      <c r="A310" s="7" t="str">
        <f>SUBSTITUTE(PasteHere!B310,"\&amp;quot;","''")</f>
        <v/>
      </c>
      <c r="B310" s="7" t="str">
        <f>SUBSTITUTE(PasteHere!C310,"\&amp;quot;","''")</f>
        <v/>
      </c>
    </row>
    <row r="311" spans="1:2">
      <c r="A311" s="7" t="str">
        <f>SUBSTITUTE(PasteHere!B311,"\&amp;quot;","''")</f>
        <v/>
      </c>
      <c r="B311" s="7" t="str">
        <f>SUBSTITUTE(PasteHere!C311,"\&amp;quot;","''")</f>
        <v/>
      </c>
    </row>
    <row r="312" spans="1:2">
      <c r="A312" s="7" t="str">
        <f>SUBSTITUTE(PasteHere!B312,"\&amp;quot;","''")</f>
        <v/>
      </c>
      <c r="B312" s="7" t="str">
        <f>SUBSTITUTE(PasteHere!C312,"\&amp;quot;","''")</f>
        <v/>
      </c>
    </row>
    <row r="313" spans="1:2">
      <c r="A313" s="7" t="str">
        <f>SUBSTITUTE(PasteHere!B313,"\&amp;quot;","''")</f>
        <v/>
      </c>
      <c r="B313" s="7" t="str">
        <f>SUBSTITUTE(PasteHere!C313,"\&amp;quot;","''")</f>
        <v/>
      </c>
    </row>
    <row r="314" spans="1:2">
      <c r="A314" s="7" t="str">
        <f>SUBSTITUTE(PasteHere!B314,"\&amp;quot;","''")</f>
        <v/>
      </c>
      <c r="B314" s="7" t="str">
        <f>SUBSTITUTE(PasteHere!C314,"\&amp;quot;","''")</f>
        <v/>
      </c>
    </row>
    <row r="315" spans="1:2">
      <c r="A315" s="7" t="str">
        <f>SUBSTITUTE(PasteHere!B315,"\&amp;quot;","''")</f>
        <v/>
      </c>
      <c r="B315" s="7" t="str">
        <f>SUBSTITUTE(PasteHere!C315,"\&amp;quot;","''")</f>
        <v/>
      </c>
    </row>
    <row r="316" spans="1:2">
      <c r="A316" s="7" t="str">
        <f>SUBSTITUTE(PasteHere!B316,"\&amp;quot;","''")</f>
        <v/>
      </c>
      <c r="B316" s="7" t="str">
        <f>SUBSTITUTE(PasteHere!C316,"\&amp;quot;","''")</f>
        <v/>
      </c>
    </row>
    <row r="317" spans="1:2">
      <c r="A317" s="7" t="str">
        <f>SUBSTITUTE(PasteHere!B317,"\&amp;quot;","''")</f>
        <v/>
      </c>
      <c r="B317" s="7" t="str">
        <f>SUBSTITUTE(PasteHere!C317,"\&amp;quot;","''")</f>
        <v/>
      </c>
    </row>
    <row r="318" spans="1:2">
      <c r="A318" s="7" t="str">
        <f>SUBSTITUTE(PasteHere!B318,"\&amp;quot;","''")</f>
        <v/>
      </c>
      <c r="B318" s="7" t="str">
        <f>SUBSTITUTE(PasteHere!C318,"\&amp;quot;","''")</f>
        <v/>
      </c>
    </row>
    <row r="319" spans="1:2">
      <c r="A319" s="7" t="str">
        <f>SUBSTITUTE(PasteHere!B319,"\&amp;quot;","''")</f>
        <v/>
      </c>
      <c r="B319" s="7" t="str">
        <f>SUBSTITUTE(PasteHere!C319,"\&amp;quot;","''")</f>
        <v/>
      </c>
    </row>
    <row r="320" spans="1:2">
      <c r="A320" s="7" t="str">
        <f>SUBSTITUTE(PasteHere!B320,"\&amp;quot;","''")</f>
        <v/>
      </c>
      <c r="B320" s="7" t="str">
        <f>SUBSTITUTE(PasteHere!C320,"\&amp;quot;","''")</f>
        <v/>
      </c>
    </row>
    <row r="321" spans="1:2">
      <c r="A321" s="7" t="str">
        <f>SUBSTITUTE(PasteHere!B321,"\&amp;quot;","''")</f>
        <v/>
      </c>
      <c r="B321" s="7" t="str">
        <f>SUBSTITUTE(PasteHere!C321,"\&amp;quot;","''")</f>
        <v/>
      </c>
    </row>
    <row r="322" spans="1:2">
      <c r="A322" s="7" t="str">
        <f>SUBSTITUTE(PasteHere!B322,"\&amp;quot;","''")</f>
        <v/>
      </c>
      <c r="B322" s="7" t="str">
        <f>SUBSTITUTE(PasteHere!C322,"\&amp;quot;","''")</f>
        <v/>
      </c>
    </row>
    <row r="323" spans="1:2">
      <c r="A323" s="7" t="str">
        <f>SUBSTITUTE(PasteHere!B323,"\&amp;quot;","''")</f>
        <v/>
      </c>
      <c r="B323" s="7" t="str">
        <f>SUBSTITUTE(PasteHere!C323,"\&amp;quot;","''")</f>
        <v/>
      </c>
    </row>
    <row r="324" spans="1:2">
      <c r="A324" s="7" t="str">
        <f>SUBSTITUTE(PasteHere!B324,"\&amp;quot;","''")</f>
        <v/>
      </c>
      <c r="B324" s="7" t="str">
        <f>SUBSTITUTE(PasteHere!C324,"\&amp;quot;","''")</f>
        <v/>
      </c>
    </row>
    <row r="325" spans="1:2">
      <c r="A325" s="7" t="str">
        <f>SUBSTITUTE(PasteHere!B325,"\&amp;quot;","''")</f>
        <v/>
      </c>
      <c r="B325" s="7" t="str">
        <f>SUBSTITUTE(PasteHere!C325,"\&amp;quot;","''")</f>
        <v/>
      </c>
    </row>
    <row r="326" spans="1:2">
      <c r="A326" s="7" t="str">
        <f>SUBSTITUTE(PasteHere!B326,"\&amp;quot;","''")</f>
        <v/>
      </c>
      <c r="B326" s="7" t="str">
        <f>SUBSTITUTE(PasteHere!C326,"\&amp;quot;","''")</f>
        <v/>
      </c>
    </row>
    <row r="327" spans="1:2">
      <c r="A327" s="7" t="str">
        <f>SUBSTITUTE(PasteHere!B327,"\&amp;quot;","''")</f>
        <v/>
      </c>
      <c r="B327" s="7" t="str">
        <f>SUBSTITUTE(PasteHere!C327,"\&amp;quot;","''")</f>
        <v/>
      </c>
    </row>
    <row r="328" spans="1:2">
      <c r="A328" s="7" t="str">
        <f>SUBSTITUTE(PasteHere!B328,"\&amp;quot;","''")</f>
        <v/>
      </c>
      <c r="B328" s="7" t="str">
        <f>SUBSTITUTE(PasteHere!C328,"\&amp;quot;","''")</f>
        <v/>
      </c>
    </row>
    <row r="329" spans="1:2">
      <c r="A329" s="7" t="str">
        <f>SUBSTITUTE(PasteHere!B329,"\&amp;quot;","''")</f>
        <v/>
      </c>
      <c r="B329" s="7" t="str">
        <f>SUBSTITUTE(PasteHere!C329,"\&amp;quot;","''")</f>
        <v/>
      </c>
    </row>
    <row r="330" spans="1:2">
      <c r="A330" s="7" t="str">
        <f>SUBSTITUTE(PasteHere!B330,"\&amp;quot;","''")</f>
        <v/>
      </c>
      <c r="B330" s="7" t="str">
        <f>SUBSTITUTE(PasteHere!C330,"\&amp;quot;","''")</f>
        <v/>
      </c>
    </row>
    <row r="331" spans="1:2">
      <c r="A331" s="7" t="str">
        <f>SUBSTITUTE(PasteHere!B331,"\&amp;quot;","''")</f>
        <v/>
      </c>
      <c r="B331" s="7" t="str">
        <f>SUBSTITUTE(PasteHere!C331,"\&amp;quot;","''")</f>
        <v/>
      </c>
    </row>
    <row r="332" spans="1:2">
      <c r="A332" s="7" t="str">
        <f>SUBSTITUTE(PasteHere!B332,"\&amp;quot;","''")</f>
        <v/>
      </c>
      <c r="B332" s="7" t="str">
        <f>SUBSTITUTE(PasteHere!C332,"\&amp;quot;","''")</f>
        <v/>
      </c>
    </row>
    <row r="333" spans="1:2">
      <c r="A333" s="7" t="str">
        <f>SUBSTITUTE(PasteHere!B333,"\&amp;quot;","''")</f>
        <v/>
      </c>
      <c r="B333" s="7" t="str">
        <f>SUBSTITUTE(PasteHere!C333,"\&amp;quot;","''")</f>
        <v/>
      </c>
    </row>
    <row r="334" spans="1:2">
      <c r="A334" s="7" t="str">
        <f>SUBSTITUTE(PasteHere!B334,"\&amp;quot;","''")</f>
        <v/>
      </c>
      <c r="B334" s="7" t="str">
        <f>SUBSTITUTE(PasteHere!C334,"\&amp;quot;","''")</f>
        <v/>
      </c>
    </row>
    <row r="335" spans="1:2">
      <c r="A335" s="7" t="str">
        <f>SUBSTITUTE(PasteHere!B335,"\&amp;quot;","''")</f>
        <v/>
      </c>
      <c r="B335" s="7" t="str">
        <f>SUBSTITUTE(PasteHere!C335,"\&amp;quot;","''")</f>
        <v/>
      </c>
    </row>
    <row r="336" spans="1:2">
      <c r="A336" s="7" t="str">
        <f>SUBSTITUTE(PasteHere!B336,"\&amp;quot;","''")</f>
        <v/>
      </c>
      <c r="B336" s="7" t="str">
        <f>SUBSTITUTE(PasteHere!C336,"\&amp;quot;","''")</f>
        <v/>
      </c>
    </row>
    <row r="337" spans="1:2">
      <c r="A337" s="7" t="str">
        <f>SUBSTITUTE(PasteHere!B337,"\&amp;quot;","''")</f>
        <v/>
      </c>
      <c r="B337" s="7" t="str">
        <f>SUBSTITUTE(PasteHere!C337,"\&amp;quot;","''")</f>
        <v/>
      </c>
    </row>
    <row r="338" spans="1:2">
      <c r="A338" s="7" t="str">
        <f>SUBSTITUTE(PasteHere!B338,"\&amp;quot;","''")</f>
        <v/>
      </c>
      <c r="B338" s="7" t="str">
        <f>SUBSTITUTE(PasteHere!C338,"\&amp;quot;","''")</f>
        <v/>
      </c>
    </row>
    <row r="339" spans="1:2">
      <c r="A339" s="7" t="str">
        <f>SUBSTITUTE(PasteHere!B339,"\&amp;quot;","''")</f>
        <v/>
      </c>
      <c r="B339" s="7" t="str">
        <f>SUBSTITUTE(PasteHere!C339,"\&amp;quot;","''")</f>
        <v/>
      </c>
    </row>
    <row r="340" spans="1:2">
      <c r="A340" s="7" t="str">
        <f>SUBSTITUTE(PasteHere!B340,"\&amp;quot;","''")</f>
        <v/>
      </c>
      <c r="B340" s="7" t="str">
        <f>SUBSTITUTE(PasteHere!C340,"\&amp;quot;","''")</f>
        <v/>
      </c>
    </row>
    <row r="341" spans="1:2">
      <c r="A341" s="7" t="str">
        <f>SUBSTITUTE(PasteHere!B341,"\&amp;quot;","''")</f>
        <v/>
      </c>
      <c r="B341" s="7" t="str">
        <f>SUBSTITUTE(PasteHere!C341,"\&amp;quot;","''")</f>
        <v/>
      </c>
    </row>
    <row r="342" spans="1:2">
      <c r="A342" s="7" t="str">
        <f>SUBSTITUTE(PasteHere!B342,"\&amp;quot;","''")</f>
        <v/>
      </c>
      <c r="B342" s="7" t="str">
        <f>SUBSTITUTE(PasteHere!C342,"\&amp;quot;","''")</f>
        <v/>
      </c>
    </row>
    <row r="343" spans="1:2">
      <c r="A343" s="7" t="str">
        <f>SUBSTITUTE(PasteHere!B343,"\&amp;quot;","''")</f>
        <v/>
      </c>
      <c r="B343" s="7" t="str">
        <f>SUBSTITUTE(PasteHere!C343,"\&amp;quot;","''")</f>
        <v/>
      </c>
    </row>
    <row r="344" spans="1:2">
      <c r="A344" s="7" t="str">
        <f>SUBSTITUTE(PasteHere!B344,"\&amp;quot;","''")</f>
        <v/>
      </c>
      <c r="B344" s="7" t="str">
        <f>SUBSTITUTE(PasteHere!C344,"\&amp;quot;","''")</f>
        <v/>
      </c>
    </row>
    <row r="345" spans="1:2">
      <c r="A345" s="7" t="str">
        <f>SUBSTITUTE(PasteHere!B345,"\&amp;quot;","''")</f>
        <v/>
      </c>
      <c r="B345" s="7" t="str">
        <f>SUBSTITUTE(PasteHere!C345,"\&amp;quot;","''")</f>
        <v/>
      </c>
    </row>
    <row r="346" spans="1:2">
      <c r="A346" s="7" t="str">
        <f>SUBSTITUTE(PasteHere!B346,"\&amp;quot;","''")</f>
        <v/>
      </c>
      <c r="B346" s="7" t="str">
        <f>SUBSTITUTE(PasteHere!C346,"\&amp;quot;","''")</f>
        <v/>
      </c>
    </row>
    <row r="347" spans="1:2">
      <c r="A347" s="7" t="str">
        <f>SUBSTITUTE(PasteHere!B347,"\&amp;quot;","''")</f>
        <v/>
      </c>
      <c r="B347" s="7" t="str">
        <f>SUBSTITUTE(PasteHere!C347,"\&amp;quot;","''")</f>
        <v/>
      </c>
    </row>
    <row r="348" spans="1:2">
      <c r="A348" s="7" t="str">
        <f>SUBSTITUTE(PasteHere!B348,"\&amp;quot;","''")</f>
        <v/>
      </c>
      <c r="B348" s="7" t="str">
        <f>SUBSTITUTE(PasteHere!C348,"\&amp;quot;","''")</f>
        <v/>
      </c>
    </row>
    <row r="349" spans="1:2">
      <c r="A349" s="7" t="str">
        <f>SUBSTITUTE(PasteHere!B349,"\&amp;quot;","''")</f>
        <v/>
      </c>
      <c r="B349" s="7" t="str">
        <f>SUBSTITUTE(PasteHere!C349,"\&amp;quot;","''")</f>
        <v/>
      </c>
    </row>
    <row r="350" spans="1:2">
      <c r="A350" s="7" t="str">
        <f>SUBSTITUTE(PasteHere!B350,"\&amp;quot;","''")</f>
        <v/>
      </c>
      <c r="B350" s="7" t="str">
        <f>SUBSTITUTE(PasteHere!C350,"\&amp;quot;","''")</f>
        <v/>
      </c>
    </row>
    <row r="351" spans="1:2">
      <c r="A351" s="7" t="str">
        <f>SUBSTITUTE(PasteHere!B351,"\&amp;quot;","''")</f>
        <v/>
      </c>
      <c r="B351" s="7" t="str">
        <f>SUBSTITUTE(PasteHere!C351,"\&amp;quot;","''")</f>
        <v/>
      </c>
    </row>
    <row r="352" spans="1:2">
      <c r="A352" s="7" t="str">
        <f>SUBSTITUTE(PasteHere!B352,"\&amp;quot;","''")</f>
        <v/>
      </c>
      <c r="B352" s="7" t="str">
        <f>SUBSTITUTE(PasteHere!C352,"\&amp;quot;","''")</f>
        <v/>
      </c>
    </row>
    <row r="353" spans="1:2">
      <c r="A353" s="7" t="str">
        <f>SUBSTITUTE(PasteHere!B353,"\&amp;quot;","''")</f>
        <v/>
      </c>
      <c r="B353" s="7" t="str">
        <f>SUBSTITUTE(PasteHere!C353,"\&amp;quot;","''")</f>
        <v/>
      </c>
    </row>
    <row r="354" spans="1:2">
      <c r="A354" s="7" t="str">
        <f>SUBSTITUTE(PasteHere!B354,"\&amp;quot;","''")</f>
        <v/>
      </c>
      <c r="B354" s="7" t="str">
        <f>SUBSTITUTE(PasteHere!C354,"\&amp;quot;","''")</f>
        <v/>
      </c>
    </row>
    <row r="355" spans="1:2">
      <c r="A355" s="7" t="str">
        <f>SUBSTITUTE(PasteHere!B355,"\&amp;quot;","''")</f>
        <v/>
      </c>
      <c r="B355" s="7" t="str">
        <f>SUBSTITUTE(PasteHere!C355,"\&amp;quot;","''")</f>
        <v/>
      </c>
    </row>
    <row r="356" spans="1:2">
      <c r="A356" s="7" t="str">
        <f>SUBSTITUTE(PasteHere!B356,"\&amp;quot;","''")</f>
        <v/>
      </c>
      <c r="B356" s="7" t="str">
        <f>SUBSTITUTE(PasteHere!C356,"\&amp;quot;","''")</f>
        <v/>
      </c>
    </row>
    <row r="357" spans="1:2">
      <c r="A357" s="7" t="str">
        <f>SUBSTITUTE(PasteHere!B357,"\&amp;quot;","''")</f>
        <v/>
      </c>
      <c r="B357" s="7" t="str">
        <f>SUBSTITUTE(PasteHere!C357,"\&amp;quot;","''")</f>
        <v/>
      </c>
    </row>
    <row r="358" spans="1:2">
      <c r="A358" s="7" t="str">
        <f>SUBSTITUTE(PasteHere!B358,"\&amp;quot;","''")</f>
        <v/>
      </c>
      <c r="B358" s="7" t="str">
        <f>SUBSTITUTE(PasteHere!C358,"\&amp;quot;","''")</f>
        <v/>
      </c>
    </row>
    <row r="359" spans="1:2">
      <c r="A359" s="7" t="str">
        <f>SUBSTITUTE(PasteHere!B359,"\&amp;quot;","''")</f>
        <v/>
      </c>
      <c r="B359" s="7" t="str">
        <f>SUBSTITUTE(PasteHere!C359,"\&amp;quot;","''")</f>
        <v/>
      </c>
    </row>
    <row r="360" spans="1:2">
      <c r="A360" s="7" t="str">
        <f>SUBSTITUTE(PasteHere!B360,"\&amp;quot;","''")</f>
        <v/>
      </c>
      <c r="B360" s="7" t="str">
        <f>SUBSTITUTE(PasteHere!C360,"\&amp;quot;","''")</f>
        <v/>
      </c>
    </row>
    <row r="361" spans="1:2">
      <c r="A361" s="7" t="str">
        <f>SUBSTITUTE(PasteHere!B361,"\&amp;quot;","''")</f>
        <v/>
      </c>
      <c r="B361" s="7" t="str">
        <f>SUBSTITUTE(PasteHere!C361,"\&amp;quot;","''")</f>
        <v/>
      </c>
    </row>
    <row r="362" spans="1:2">
      <c r="A362" s="7" t="str">
        <f>SUBSTITUTE(PasteHere!B362,"\&amp;quot;","''")</f>
        <v/>
      </c>
      <c r="B362" s="7" t="str">
        <f>SUBSTITUTE(PasteHere!C362,"\&amp;quot;","''")</f>
        <v/>
      </c>
    </row>
    <row r="363" spans="1:2">
      <c r="A363" s="7" t="str">
        <f>SUBSTITUTE(PasteHere!B363,"\&amp;quot;","''")</f>
        <v/>
      </c>
      <c r="B363" s="7" t="str">
        <f>SUBSTITUTE(PasteHere!C363,"\&amp;quot;","''")</f>
        <v/>
      </c>
    </row>
    <row r="364" spans="1:2">
      <c r="A364" s="7" t="str">
        <f>SUBSTITUTE(PasteHere!B364,"\&amp;quot;","''")</f>
        <v/>
      </c>
      <c r="B364" s="7" t="str">
        <f>SUBSTITUTE(PasteHere!C364,"\&amp;quot;","''")</f>
        <v/>
      </c>
    </row>
    <row r="365" spans="1:2">
      <c r="A365" s="7" t="str">
        <f>SUBSTITUTE(PasteHere!B365,"\&amp;quot;","''")</f>
        <v/>
      </c>
      <c r="B365" s="7" t="str">
        <f>SUBSTITUTE(PasteHere!C365,"\&amp;quot;","''")</f>
        <v/>
      </c>
    </row>
    <row r="366" spans="1:2">
      <c r="A366" s="7" t="str">
        <f>SUBSTITUTE(PasteHere!B366,"\&amp;quot;","''")</f>
        <v/>
      </c>
      <c r="B366" s="7" t="str">
        <f>SUBSTITUTE(PasteHere!C366,"\&amp;quot;","''")</f>
        <v/>
      </c>
    </row>
    <row r="367" spans="1:2">
      <c r="A367" s="7" t="str">
        <f>SUBSTITUTE(PasteHere!B367,"\&amp;quot;","''")</f>
        <v/>
      </c>
      <c r="B367" s="7" t="str">
        <f>SUBSTITUTE(PasteHere!C367,"\&amp;quot;","''")</f>
        <v/>
      </c>
    </row>
    <row r="368" spans="1:2">
      <c r="A368" s="7" t="str">
        <f>SUBSTITUTE(PasteHere!B368,"\&amp;quot;","''")</f>
        <v/>
      </c>
      <c r="B368" s="7" t="str">
        <f>SUBSTITUTE(PasteHere!C368,"\&amp;quot;","''")</f>
        <v/>
      </c>
    </row>
    <row r="369" spans="1:2">
      <c r="A369" s="7" t="str">
        <f>SUBSTITUTE(PasteHere!B369,"\&amp;quot;","''")</f>
        <v/>
      </c>
      <c r="B369" s="7" t="str">
        <f>SUBSTITUTE(PasteHere!C369,"\&amp;quot;","''")</f>
        <v/>
      </c>
    </row>
    <row r="370" spans="1:2">
      <c r="A370" s="7" t="str">
        <f>SUBSTITUTE(PasteHere!B370,"\&amp;quot;","''")</f>
        <v/>
      </c>
      <c r="B370" s="7" t="str">
        <f>SUBSTITUTE(PasteHere!C370,"\&amp;quot;","''")</f>
        <v/>
      </c>
    </row>
    <row r="371" spans="1:2">
      <c r="A371" s="7" t="str">
        <f>SUBSTITUTE(PasteHere!B371,"\&amp;quot;","''")</f>
        <v/>
      </c>
      <c r="B371" s="7" t="str">
        <f>SUBSTITUTE(PasteHere!C371,"\&amp;quot;","''")</f>
        <v/>
      </c>
    </row>
    <row r="372" spans="1:2">
      <c r="A372" s="7" t="str">
        <f>SUBSTITUTE(PasteHere!B372,"\&amp;quot;","''")</f>
        <v/>
      </c>
      <c r="B372" s="7" t="str">
        <f>SUBSTITUTE(PasteHere!C372,"\&amp;quot;","''")</f>
        <v/>
      </c>
    </row>
    <row r="373" spans="1:2">
      <c r="A373" s="7" t="str">
        <f>SUBSTITUTE(PasteHere!B373,"\&amp;quot;","''")</f>
        <v/>
      </c>
      <c r="B373" s="7" t="str">
        <f>SUBSTITUTE(PasteHere!C373,"\&amp;quot;","''")</f>
        <v/>
      </c>
    </row>
    <row r="374" spans="1:2">
      <c r="A374" s="7" t="str">
        <f>SUBSTITUTE(PasteHere!B374,"\&amp;quot;","''")</f>
        <v/>
      </c>
      <c r="B374" s="7" t="str">
        <f>SUBSTITUTE(PasteHere!C374,"\&amp;quot;","''")</f>
        <v/>
      </c>
    </row>
    <row r="375" spans="1:2">
      <c r="A375" s="7" t="str">
        <f>SUBSTITUTE(PasteHere!B375,"\&amp;quot;","''")</f>
        <v/>
      </c>
      <c r="B375" s="7" t="str">
        <f>SUBSTITUTE(PasteHere!C375,"\&amp;quot;","''")</f>
        <v/>
      </c>
    </row>
    <row r="376" spans="1:2">
      <c r="A376" s="7" t="str">
        <f>SUBSTITUTE(PasteHere!B376,"\&amp;quot;","''")</f>
        <v/>
      </c>
      <c r="B376" s="7" t="str">
        <f>SUBSTITUTE(PasteHere!C376,"\&amp;quot;","''")</f>
        <v/>
      </c>
    </row>
    <row r="377" spans="1:2">
      <c r="A377" s="7" t="str">
        <f>SUBSTITUTE(PasteHere!B377,"\&amp;quot;","''")</f>
        <v/>
      </c>
      <c r="B377" s="7" t="str">
        <f>SUBSTITUTE(PasteHere!C377,"\&amp;quot;","''")</f>
        <v/>
      </c>
    </row>
    <row r="378" spans="1:2">
      <c r="A378" s="7" t="str">
        <f>SUBSTITUTE(PasteHere!B378,"\&amp;quot;","''")</f>
        <v/>
      </c>
      <c r="B378" s="7" t="str">
        <f>SUBSTITUTE(PasteHere!C378,"\&amp;quot;","''")</f>
        <v/>
      </c>
    </row>
    <row r="379" spans="1:2">
      <c r="A379" s="7" t="str">
        <f>SUBSTITUTE(PasteHere!B379,"\&amp;quot;","''")</f>
        <v/>
      </c>
      <c r="B379" s="7" t="str">
        <f>SUBSTITUTE(PasteHere!C379,"\&amp;quot;","''")</f>
        <v/>
      </c>
    </row>
    <row r="380" spans="1:2">
      <c r="A380" s="7" t="str">
        <f>SUBSTITUTE(PasteHere!B380,"\&amp;quot;","''")</f>
        <v/>
      </c>
      <c r="B380" s="7" t="str">
        <f>SUBSTITUTE(PasteHere!C380,"\&amp;quot;","''")</f>
        <v/>
      </c>
    </row>
    <row r="381" spans="1:2">
      <c r="A381" s="7" t="str">
        <f>SUBSTITUTE(PasteHere!B381,"\&amp;quot;","''")</f>
        <v/>
      </c>
      <c r="B381" s="7" t="str">
        <f>SUBSTITUTE(PasteHere!C381,"\&amp;quot;","''")</f>
        <v/>
      </c>
    </row>
    <row r="382" spans="1:2">
      <c r="A382" s="7" t="str">
        <f>SUBSTITUTE(PasteHere!B382,"\&amp;quot;","''")</f>
        <v/>
      </c>
      <c r="B382" s="7" t="str">
        <f>SUBSTITUTE(PasteHere!C382,"\&amp;quot;","''")</f>
        <v/>
      </c>
    </row>
    <row r="383" spans="1:2">
      <c r="A383" s="7" t="str">
        <f>SUBSTITUTE(PasteHere!B383,"\&amp;quot;","''")</f>
        <v/>
      </c>
      <c r="B383" s="7" t="str">
        <f>SUBSTITUTE(PasteHere!C383,"\&amp;quot;","''")</f>
        <v/>
      </c>
    </row>
    <row r="384" spans="1:2">
      <c r="A384" s="7" t="str">
        <f>SUBSTITUTE(PasteHere!B384,"\&amp;quot;","''")</f>
        <v/>
      </c>
      <c r="B384" s="7" t="str">
        <f>SUBSTITUTE(PasteHere!C384,"\&amp;quot;","''")</f>
        <v/>
      </c>
    </row>
    <row r="385" spans="1:2">
      <c r="A385" s="7" t="str">
        <f>SUBSTITUTE(PasteHere!B385,"\&amp;quot;","''")</f>
        <v/>
      </c>
      <c r="B385" s="7" t="str">
        <f>SUBSTITUTE(PasteHere!C385,"\&amp;quot;","''")</f>
        <v/>
      </c>
    </row>
    <row r="386" spans="1:2">
      <c r="A386" s="7" t="str">
        <f>SUBSTITUTE(PasteHere!B386,"\&amp;quot;","''")</f>
        <v/>
      </c>
      <c r="B386" s="7" t="str">
        <f>SUBSTITUTE(PasteHere!C386,"\&amp;quot;","''")</f>
        <v/>
      </c>
    </row>
    <row r="387" spans="1:2">
      <c r="A387" s="7" t="str">
        <f>SUBSTITUTE(PasteHere!B387,"\&amp;quot;","''")</f>
        <v/>
      </c>
      <c r="B387" s="7" t="str">
        <f>SUBSTITUTE(PasteHere!C387,"\&amp;quot;","''")</f>
        <v/>
      </c>
    </row>
    <row r="388" spans="1:2">
      <c r="A388" s="7" t="str">
        <f>SUBSTITUTE(PasteHere!B388,"\&amp;quot;","''")</f>
        <v/>
      </c>
      <c r="B388" s="7" t="str">
        <f>SUBSTITUTE(PasteHere!C388,"\&amp;quot;","''")</f>
        <v/>
      </c>
    </row>
    <row r="389" spans="1:2">
      <c r="A389" s="7" t="str">
        <f>SUBSTITUTE(PasteHere!B389,"\&amp;quot;","''")</f>
        <v/>
      </c>
      <c r="B389" s="7" t="str">
        <f>SUBSTITUTE(PasteHere!C389,"\&amp;quot;","''")</f>
        <v/>
      </c>
    </row>
    <row r="390" spans="1:2">
      <c r="A390" s="7" t="str">
        <f>SUBSTITUTE(PasteHere!B390,"\&amp;quot;","''")</f>
        <v/>
      </c>
      <c r="B390" s="7" t="str">
        <f>SUBSTITUTE(PasteHere!C390,"\&amp;quot;","''")</f>
        <v/>
      </c>
    </row>
    <row r="391" spans="1:2">
      <c r="A391" s="7" t="str">
        <f>SUBSTITUTE(PasteHere!B391,"\&amp;quot;","''")</f>
        <v/>
      </c>
      <c r="B391" s="7" t="str">
        <f>SUBSTITUTE(PasteHere!C391,"\&amp;quot;","''")</f>
        <v/>
      </c>
    </row>
    <row r="392" spans="1:2">
      <c r="A392" s="7" t="str">
        <f>SUBSTITUTE(PasteHere!B392,"\&amp;quot;","''")</f>
        <v/>
      </c>
      <c r="B392" s="7" t="str">
        <f>SUBSTITUTE(PasteHere!C392,"\&amp;quot;","''")</f>
        <v/>
      </c>
    </row>
    <row r="393" spans="1:2">
      <c r="A393" s="7" t="str">
        <f>SUBSTITUTE(PasteHere!B393,"\&amp;quot;","''")</f>
        <v/>
      </c>
      <c r="B393" s="7" t="str">
        <f>SUBSTITUTE(PasteHere!C393,"\&amp;quot;","''")</f>
        <v/>
      </c>
    </row>
    <row r="394" spans="1:2">
      <c r="A394" s="7" t="str">
        <f>SUBSTITUTE(PasteHere!B394,"\&amp;quot;","''")</f>
        <v/>
      </c>
      <c r="B394" s="7" t="str">
        <f>SUBSTITUTE(PasteHere!C394,"\&amp;quot;","''")</f>
        <v/>
      </c>
    </row>
    <row r="395" spans="1:2">
      <c r="A395" s="7" t="str">
        <f>SUBSTITUTE(PasteHere!B395,"\&amp;quot;","''")</f>
        <v/>
      </c>
      <c r="B395" s="7" t="str">
        <f>SUBSTITUTE(PasteHere!C395,"\&amp;quot;","''")</f>
        <v/>
      </c>
    </row>
    <row r="396" spans="1:2">
      <c r="A396" s="7" t="str">
        <f>SUBSTITUTE(PasteHere!B396,"\&amp;quot;","''")</f>
        <v/>
      </c>
      <c r="B396" s="7" t="str">
        <f>SUBSTITUTE(PasteHere!C396,"\&amp;quot;","''")</f>
        <v/>
      </c>
    </row>
    <row r="397" spans="1:2">
      <c r="A397" s="7" t="str">
        <f>SUBSTITUTE(PasteHere!B397,"\&amp;quot;","''")</f>
        <v/>
      </c>
      <c r="B397" s="7" t="str">
        <f>SUBSTITUTE(PasteHere!C397,"\&amp;quot;","''")</f>
        <v/>
      </c>
    </row>
    <row r="398" spans="1:2">
      <c r="A398" s="7" t="str">
        <f>SUBSTITUTE(PasteHere!B398,"\&amp;quot;","''")</f>
        <v/>
      </c>
      <c r="B398" s="7" t="str">
        <f>SUBSTITUTE(PasteHere!C398,"\&amp;quot;","''")</f>
        <v/>
      </c>
    </row>
    <row r="399" spans="1:2">
      <c r="A399" s="7" t="str">
        <f>SUBSTITUTE(PasteHere!B399,"\&amp;quot;","''")</f>
        <v/>
      </c>
      <c r="B399" s="7" t="str">
        <f>SUBSTITUTE(PasteHere!C399,"\&amp;quot;","''")</f>
        <v/>
      </c>
    </row>
    <row r="400" spans="1:2">
      <c r="A400" s="7" t="str">
        <f>SUBSTITUTE(PasteHere!B400,"\&amp;quot;","''")</f>
        <v/>
      </c>
      <c r="B400" s="7" t="str">
        <f>SUBSTITUTE(PasteHere!C400,"\&amp;quot;","''")</f>
        <v/>
      </c>
    </row>
    <row r="401" spans="1:2">
      <c r="A401" s="7" t="str">
        <f>SUBSTITUTE(PasteHere!B401,"\&amp;quot;","''")</f>
        <v/>
      </c>
      <c r="B401" s="7" t="str">
        <f>SUBSTITUTE(PasteHere!C401,"\&amp;quot;","''")</f>
        <v/>
      </c>
    </row>
    <row r="402" spans="1:2">
      <c r="A402" s="7" t="str">
        <f>SUBSTITUTE(PasteHere!B402,"\&amp;quot;","''")</f>
        <v/>
      </c>
      <c r="B402" s="7" t="str">
        <f>SUBSTITUTE(PasteHere!C402,"\&amp;quot;","''")</f>
        <v/>
      </c>
    </row>
    <row r="403" spans="1:2">
      <c r="A403" s="7" t="str">
        <f>SUBSTITUTE(PasteHere!B403,"\&amp;quot;","''")</f>
        <v/>
      </c>
      <c r="B403" s="7" t="str">
        <f>SUBSTITUTE(PasteHere!C403,"\&amp;quot;","''")</f>
        <v/>
      </c>
    </row>
    <row r="404" spans="1:2">
      <c r="A404" s="7" t="str">
        <f>SUBSTITUTE(PasteHere!B404,"\&amp;quot;","''")</f>
        <v/>
      </c>
      <c r="B404" s="7" t="str">
        <f>SUBSTITUTE(PasteHere!C404,"\&amp;quot;","''")</f>
        <v/>
      </c>
    </row>
    <row r="405" spans="1:2">
      <c r="A405" s="7" t="str">
        <f>SUBSTITUTE(PasteHere!B405,"\&amp;quot;","''")</f>
        <v/>
      </c>
      <c r="B405" s="7" t="str">
        <f>SUBSTITUTE(PasteHere!C405,"\&amp;quot;","''")</f>
        <v/>
      </c>
    </row>
    <row r="406" spans="1:2">
      <c r="A406" s="7" t="str">
        <f>SUBSTITUTE(PasteHere!B406,"\&amp;quot;","''")</f>
        <v/>
      </c>
      <c r="B406" s="7" t="str">
        <f>SUBSTITUTE(PasteHere!C406,"\&amp;quot;","''")</f>
        <v/>
      </c>
    </row>
    <row r="407" spans="1:2">
      <c r="A407" s="7" t="str">
        <f>SUBSTITUTE(PasteHere!B407,"\&amp;quot;","''")</f>
        <v/>
      </c>
      <c r="B407" s="7" t="str">
        <f>SUBSTITUTE(PasteHere!C407,"\&amp;quot;","''")</f>
        <v/>
      </c>
    </row>
    <row r="408" spans="1:2">
      <c r="A408" s="7" t="str">
        <f>SUBSTITUTE(PasteHere!B408,"\&amp;quot;","''")</f>
        <v/>
      </c>
      <c r="B408" s="7" t="str">
        <f>SUBSTITUTE(PasteHere!C408,"\&amp;quot;","''")</f>
        <v/>
      </c>
    </row>
    <row r="409" spans="1:2">
      <c r="A409" s="7" t="str">
        <f>SUBSTITUTE(PasteHere!B409,"\&amp;quot;","''")</f>
        <v/>
      </c>
      <c r="B409" s="7" t="str">
        <f>SUBSTITUTE(PasteHere!C409,"\&amp;quot;","''")</f>
        <v/>
      </c>
    </row>
    <row r="410" spans="1:2">
      <c r="A410" s="7" t="str">
        <f>SUBSTITUTE(PasteHere!B410,"\&amp;quot;","''")</f>
        <v/>
      </c>
      <c r="B410" s="7" t="str">
        <f>SUBSTITUTE(PasteHere!C410,"\&amp;quot;","''")</f>
        <v/>
      </c>
    </row>
    <row r="411" spans="1:2">
      <c r="A411" s="7" t="str">
        <f>SUBSTITUTE(PasteHere!B411,"\&amp;quot;","''")</f>
        <v/>
      </c>
      <c r="B411" s="7" t="str">
        <f>SUBSTITUTE(PasteHere!C411,"\&amp;quot;","''")</f>
        <v/>
      </c>
    </row>
    <row r="412" spans="1:2">
      <c r="A412" s="7" t="str">
        <f>SUBSTITUTE(PasteHere!B412,"\&amp;quot;","''")</f>
        <v/>
      </c>
      <c r="B412" s="7" t="str">
        <f>SUBSTITUTE(PasteHere!C412,"\&amp;quot;","''")</f>
        <v/>
      </c>
    </row>
    <row r="413" spans="1:2">
      <c r="A413" s="7" t="str">
        <f>SUBSTITUTE(PasteHere!B413,"\&amp;quot;","''")</f>
        <v/>
      </c>
      <c r="B413" s="7" t="str">
        <f>SUBSTITUTE(PasteHere!C413,"\&amp;quot;","''")</f>
        <v/>
      </c>
    </row>
    <row r="414" spans="1:2">
      <c r="A414" s="7" t="str">
        <f>SUBSTITUTE(PasteHere!B414,"\&amp;quot;","''")</f>
        <v/>
      </c>
      <c r="B414" s="7" t="str">
        <f>SUBSTITUTE(PasteHere!C414,"\&amp;quot;","''")</f>
        <v/>
      </c>
    </row>
    <row r="415" spans="1:2">
      <c r="A415" s="7" t="str">
        <f>SUBSTITUTE(PasteHere!B415,"\&amp;quot;","''")</f>
        <v/>
      </c>
      <c r="B415" s="7" t="str">
        <f>SUBSTITUTE(PasteHere!C415,"\&amp;quot;","''")</f>
        <v/>
      </c>
    </row>
    <row r="416" spans="1:2">
      <c r="A416" s="7" t="str">
        <f>SUBSTITUTE(PasteHere!B416,"\&amp;quot;","''")</f>
        <v/>
      </c>
      <c r="B416" s="7" t="str">
        <f>SUBSTITUTE(PasteHere!C416,"\&amp;quot;","''")</f>
        <v/>
      </c>
    </row>
    <row r="417" spans="1:2">
      <c r="A417" s="7" t="str">
        <f>SUBSTITUTE(PasteHere!B417,"\&amp;quot;","''")</f>
        <v/>
      </c>
      <c r="B417" s="7" t="str">
        <f>SUBSTITUTE(PasteHere!C417,"\&amp;quot;","''")</f>
        <v/>
      </c>
    </row>
    <row r="418" spans="1:2">
      <c r="A418" s="7" t="str">
        <f>SUBSTITUTE(PasteHere!B418,"\&amp;quot;","''")</f>
        <v/>
      </c>
      <c r="B418" s="7" t="str">
        <f>SUBSTITUTE(PasteHere!C418,"\&amp;quot;","''")</f>
        <v/>
      </c>
    </row>
    <row r="419" spans="1:2">
      <c r="A419" s="7" t="str">
        <f>SUBSTITUTE(PasteHere!B419,"\&amp;quot;","''")</f>
        <v/>
      </c>
      <c r="B419" s="7" t="str">
        <f>SUBSTITUTE(PasteHere!C419,"\&amp;quot;","''")</f>
        <v/>
      </c>
    </row>
    <row r="420" spans="1:2">
      <c r="A420" s="7" t="str">
        <f>SUBSTITUTE(PasteHere!B420,"\&amp;quot;","''")</f>
        <v/>
      </c>
      <c r="B420" s="7" t="str">
        <f>SUBSTITUTE(PasteHere!C420,"\&amp;quot;","''")</f>
        <v/>
      </c>
    </row>
    <row r="421" spans="1:2">
      <c r="A421" s="7" t="str">
        <f>SUBSTITUTE(PasteHere!B421,"\&amp;quot;","''")</f>
        <v/>
      </c>
      <c r="B421" s="7" t="str">
        <f>SUBSTITUTE(PasteHere!C421,"\&amp;quot;","''")</f>
        <v/>
      </c>
    </row>
    <row r="422" spans="1:2">
      <c r="A422" s="7" t="str">
        <f>SUBSTITUTE(PasteHere!B422,"\&amp;quot;","''")</f>
        <v/>
      </c>
      <c r="B422" s="7" t="str">
        <f>SUBSTITUTE(PasteHere!C422,"\&amp;quot;","''")</f>
        <v/>
      </c>
    </row>
    <row r="423" spans="1:2">
      <c r="A423" s="7" t="str">
        <f>SUBSTITUTE(PasteHere!B423,"\&amp;quot;","''")</f>
        <v/>
      </c>
      <c r="B423" s="7" t="str">
        <f>SUBSTITUTE(PasteHere!C423,"\&amp;quot;","''")</f>
        <v/>
      </c>
    </row>
    <row r="424" spans="1:2">
      <c r="A424" s="7" t="str">
        <f>SUBSTITUTE(PasteHere!B424,"\&amp;quot;","''")</f>
        <v/>
      </c>
      <c r="B424" s="7" t="str">
        <f>SUBSTITUTE(PasteHere!C424,"\&amp;quot;","''")</f>
        <v/>
      </c>
    </row>
    <row r="425" spans="1:2">
      <c r="A425" s="7" t="str">
        <f>SUBSTITUTE(PasteHere!B425,"\&amp;quot;","''")</f>
        <v/>
      </c>
      <c r="B425" s="7" t="str">
        <f>SUBSTITUTE(PasteHere!C425,"\&amp;quot;","''")</f>
        <v/>
      </c>
    </row>
    <row r="426" spans="1:2">
      <c r="A426" s="7" t="str">
        <f>SUBSTITUTE(PasteHere!B426,"\&amp;quot;","''")</f>
        <v/>
      </c>
      <c r="B426" s="7" t="str">
        <f>SUBSTITUTE(PasteHere!C426,"\&amp;quot;","''")</f>
        <v/>
      </c>
    </row>
    <row r="427" spans="1:2">
      <c r="A427" s="7" t="str">
        <f>SUBSTITUTE(PasteHere!B427,"\&amp;quot;","''")</f>
        <v/>
      </c>
      <c r="B427" s="7" t="str">
        <f>SUBSTITUTE(PasteHere!C427,"\&amp;quot;","''")</f>
        <v/>
      </c>
    </row>
    <row r="428" spans="1:2">
      <c r="A428" s="7" t="str">
        <f>SUBSTITUTE(PasteHere!B428,"\&amp;quot;","''")</f>
        <v/>
      </c>
      <c r="B428" s="7" t="str">
        <f>SUBSTITUTE(PasteHere!C428,"\&amp;quot;","''")</f>
        <v/>
      </c>
    </row>
    <row r="429" spans="1:2">
      <c r="A429" s="7" t="str">
        <f>SUBSTITUTE(PasteHere!B429,"\&amp;quot;","''")</f>
        <v/>
      </c>
      <c r="B429" s="7" t="str">
        <f>SUBSTITUTE(PasteHere!C429,"\&amp;quot;","''")</f>
        <v/>
      </c>
    </row>
    <row r="430" spans="1:2">
      <c r="A430" s="7" t="str">
        <f>SUBSTITUTE(PasteHere!B430,"\&amp;quot;","''")</f>
        <v/>
      </c>
      <c r="B430" s="7" t="str">
        <f>SUBSTITUTE(PasteHere!C430,"\&amp;quot;","''")</f>
        <v/>
      </c>
    </row>
    <row r="431" spans="1:2">
      <c r="A431" s="7" t="str">
        <f>SUBSTITUTE(PasteHere!B431,"\&amp;quot;","''")</f>
        <v/>
      </c>
      <c r="B431" s="7" t="str">
        <f>SUBSTITUTE(PasteHere!C431,"\&amp;quot;","''")</f>
        <v/>
      </c>
    </row>
    <row r="432" spans="1:2">
      <c r="A432" s="7" t="str">
        <f>SUBSTITUTE(PasteHere!B432,"\&amp;quot;","''")</f>
        <v/>
      </c>
      <c r="B432" s="7" t="str">
        <f>SUBSTITUTE(PasteHere!C432,"\&amp;quot;","''")</f>
        <v/>
      </c>
    </row>
    <row r="433" spans="1:2">
      <c r="A433" s="7" t="str">
        <f>SUBSTITUTE(PasteHere!B433,"\&amp;quot;","''")</f>
        <v/>
      </c>
      <c r="B433" s="7" t="str">
        <f>SUBSTITUTE(PasteHere!C433,"\&amp;quot;","''")</f>
        <v/>
      </c>
    </row>
    <row r="434" spans="1:2">
      <c r="A434" s="7" t="str">
        <f>SUBSTITUTE(PasteHere!B434,"\&amp;quot;","''")</f>
        <v/>
      </c>
      <c r="B434" s="7" t="str">
        <f>SUBSTITUTE(PasteHere!C434,"\&amp;quot;","''")</f>
        <v/>
      </c>
    </row>
    <row r="435" spans="1:2">
      <c r="A435" s="7" t="str">
        <f>SUBSTITUTE(PasteHere!B435,"\&amp;quot;","''")</f>
        <v/>
      </c>
      <c r="B435" s="7" t="str">
        <f>SUBSTITUTE(PasteHere!C435,"\&amp;quot;","''")</f>
        <v/>
      </c>
    </row>
    <row r="436" spans="1:2">
      <c r="A436" s="7" t="str">
        <f>SUBSTITUTE(PasteHere!B436,"\&amp;quot;","''")</f>
        <v/>
      </c>
      <c r="B436" s="7" t="str">
        <f>SUBSTITUTE(PasteHere!C436,"\&amp;quot;","''")</f>
        <v/>
      </c>
    </row>
    <row r="437" spans="1:2">
      <c r="A437" s="7" t="str">
        <f>SUBSTITUTE(PasteHere!B437,"\&amp;quot;","''")</f>
        <v/>
      </c>
      <c r="B437" s="7" t="str">
        <f>SUBSTITUTE(PasteHere!C437,"\&amp;quot;","''")</f>
        <v/>
      </c>
    </row>
    <row r="438" spans="1:2">
      <c r="A438" s="7" t="str">
        <f>SUBSTITUTE(PasteHere!B438,"\&amp;quot;","''")</f>
        <v/>
      </c>
      <c r="B438" s="7" t="str">
        <f>SUBSTITUTE(PasteHere!C438,"\&amp;quot;","''")</f>
        <v/>
      </c>
    </row>
    <row r="439" spans="1:2">
      <c r="A439" s="7" t="str">
        <f>SUBSTITUTE(PasteHere!B439,"\&amp;quot;","''")</f>
        <v/>
      </c>
      <c r="B439" s="7" t="str">
        <f>SUBSTITUTE(PasteHere!C439,"\&amp;quot;","''")</f>
        <v/>
      </c>
    </row>
    <row r="440" spans="1:2">
      <c r="A440" s="7" t="str">
        <f>SUBSTITUTE(PasteHere!B440,"\&amp;quot;","''")</f>
        <v/>
      </c>
      <c r="B440" s="7" t="str">
        <f>SUBSTITUTE(PasteHere!C440,"\&amp;quot;","''")</f>
        <v/>
      </c>
    </row>
    <row r="441" spans="1:2">
      <c r="A441" s="7" t="str">
        <f>SUBSTITUTE(PasteHere!B441,"\&amp;quot;","''")</f>
        <v/>
      </c>
      <c r="B441" s="7" t="str">
        <f>SUBSTITUTE(PasteHere!C441,"\&amp;quot;","''")</f>
        <v/>
      </c>
    </row>
    <row r="442" spans="1:2">
      <c r="A442" s="7" t="str">
        <f>SUBSTITUTE(PasteHere!B442,"\&amp;quot;","''")</f>
        <v/>
      </c>
      <c r="B442" s="7" t="str">
        <f>SUBSTITUTE(PasteHere!C442,"\&amp;quot;","''")</f>
        <v/>
      </c>
    </row>
    <row r="443" spans="1:2">
      <c r="A443" s="7" t="str">
        <f>SUBSTITUTE(PasteHere!B443,"\&amp;quot;","''")</f>
        <v/>
      </c>
      <c r="B443" s="7" t="str">
        <f>SUBSTITUTE(PasteHere!C443,"\&amp;quot;","''")</f>
        <v/>
      </c>
    </row>
    <row r="444" spans="1:2">
      <c r="A444" s="7" t="str">
        <f>SUBSTITUTE(PasteHere!B444,"\&amp;quot;","''")</f>
        <v/>
      </c>
      <c r="B444" s="7" t="str">
        <f>SUBSTITUTE(PasteHere!C444,"\&amp;quot;","''")</f>
        <v/>
      </c>
    </row>
    <row r="445" spans="1:2">
      <c r="A445" s="7" t="str">
        <f>SUBSTITUTE(PasteHere!B445,"\&amp;quot;","''")</f>
        <v/>
      </c>
      <c r="B445" s="7" t="str">
        <f>SUBSTITUTE(PasteHere!C445,"\&amp;quot;","''")</f>
        <v/>
      </c>
    </row>
    <row r="446" spans="1:2">
      <c r="A446" s="7" t="str">
        <f>SUBSTITUTE(PasteHere!B446,"\&amp;quot;","''")</f>
        <v/>
      </c>
      <c r="B446" s="7" t="str">
        <f>SUBSTITUTE(PasteHere!C446,"\&amp;quot;","''")</f>
        <v/>
      </c>
    </row>
    <row r="447" spans="1:2">
      <c r="A447" s="7" t="str">
        <f>SUBSTITUTE(PasteHere!B447,"\&amp;quot;","''")</f>
        <v/>
      </c>
      <c r="B447" s="7" t="str">
        <f>SUBSTITUTE(PasteHere!C447,"\&amp;quot;","''")</f>
        <v/>
      </c>
    </row>
    <row r="448" spans="1:2">
      <c r="A448" s="7" t="str">
        <f>SUBSTITUTE(PasteHere!B448,"\&amp;quot;","''")</f>
        <v/>
      </c>
      <c r="B448" s="7" t="str">
        <f>SUBSTITUTE(PasteHere!C448,"\&amp;quot;","''")</f>
        <v/>
      </c>
    </row>
    <row r="449" spans="1:2">
      <c r="A449" s="7" t="str">
        <f>SUBSTITUTE(PasteHere!B449,"\&amp;quot;","''")</f>
        <v/>
      </c>
      <c r="B449" s="7" t="str">
        <f>SUBSTITUTE(PasteHere!C449,"\&amp;quot;","''")</f>
        <v/>
      </c>
    </row>
    <row r="450" spans="1:2">
      <c r="A450" s="7" t="str">
        <f>SUBSTITUTE(PasteHere!B450,"\&amp;quot;","''")</f>
        <v/>
      </c>
      <c r="B450" s="7" t="str">
        <f>SUBSTITUTE(PasteHere!C450,"\&amp;quot;","''")</f>
        <v/>
      </c>
    </row>
    <row r="451" spans="1:2">
      <c r="A451" s="7" t="str">
        <f>SUBSTITUTE(PasteHere!B451,"\&amp;quot;","''")</f>
        <v/>
      </c>
      <c r="B451" s="7" t="str">
        <f>SUBSTITUTE(PasteHere!C451,"\&amp;quot;","''")</f>
        <v/>
      </c>
    </row>
    <row r="452" spans="1:2">
      <c r="A452" s="7" t="str">
        <f>SUBSTITUTE(PasteHere!B452,"\&amp;quot;","''")</f>
        <v/>
      </c>
      <c r="B452" s="7" t="str">
        <f>SUBSTITUTE(PasteHere!C452,"\&amp;quot;","''")</f>
        <v/>
      </c>
    </row>
    <row r="453" spans="1:2">
      <c r="A453" s="7" t="str">
        <f>SUBSTITUTE(PasteHere!B453,"\&amp;quot;","''")</f>
        <v/>
      </c>
      <c r="B453" s="7" t="str">
        <f>SUBSTITUTE(PasteHere!C453,"\&amp;quot;","''")</f>
        <v/>
      </c>
    </row>
    <row r="454" spans="1:2">
      <c r="A454" s="7" t="str">
        <f>SUBSTITUTE(PasteHere!B454,"\&amp;quot;","''")</f>
        <v/>
      </c>
      <c r="B454" s="7" t="str">
        <f>SUBSTITUTE(PasteHere!C454,"\&amp;quot;","''")</f>
        <v/>
      </c>
    </row>
    <row r="455" spans="1:2">
      <c r="A455" s="7" t="str">
        <f>SUBSTITUTE(PasteHere!B455,"\&amp;quot;","''")</f>
        <v/>
      </c>
      <c r="B455" s="7" t="str">
        <f>SUBSTITUTE(PasteHere!C455,"\&amp;quot;","''")</f>
        <v/>
      </c>
    </row>
    <row r="456" spans="1:2">
      <c r="A456" s="7" t="str">
        <f>SUBSTITUTE(PasteHere!B456,"\&amp;quot;","''")</f>
        <v/>
      </c>
      <c r="B456" s="7" t="str">
        <f>SUBSTITUTE(PasteHere!C456,"\&amp;quot;","''")</f>
        <v/>
      </c>
    </row>
    <row r="457" spans="1:2">
      <c r="A457" s="7" t="str">
        <f>SUBSTITUTE(PasteHere!B457,"\&amp;quot;","''")</f>
        <v/>
      </c>
      <c r="B457" s="7" t="str">
        <f>SUBSTITUTE(PasteHere!C457,"\&amp;quot;","''")</f>
        <v/>
      </c>
    </row>
    <row r="458" spans="1:2">
      <c r="A458" s="7" t="str">
        <f>SUBSTITUTE(PasteHere!B458,"\&amp;quot;","''")</f>
        <v/>
      </c>
      <c r="B458" s="7" t="str">
        <f>SUBSTITUTE(PasteHere!C458,"\&amp;quot;","''")</f>
        <v/>
      </c>
    </row>
    <row r="459" spans="1:2">
      <c r="A459" s="7" t="str">
        <f>SUBSTITUTE(PasteHere!B459,"\&amp;quot;","''")</f>
        <v/>
      </c>
      <c r="B459" s="7" t="str">
        <f>SUBSTITUTE(PasteHere!C459,"\&amp;quot;","''")</f>
        <v/>
      </c>
    </row>
    <row r="460" spans="1:2">
      <c r="A460" s="7" t="str">
        <f>SUBSTITUTE(PasteHere!B460,"\&amp;quot;","''")</f>
        <v/>
      </c>
      <c r="B460" s="7" t="str">
        <f>SUBSTITUTE(PasteHere!C460,"\&amp;quot;","''")</f>
        <v/>
      </c>
    </row>
    <row r="461" spans="1:2">
      <c r="A461" s="7" t="str">
        <f>SUBSTITUTE(PasteHere!B461,"\&amp;quot;","''")</f>
        <v/>
      </c>
      <c r="B461" s="7" t="str">
        <f>SUBSTITUTE(PasteHere!C461,"\&amp;quot;","''")</f>
        <v/>
      </c>
    </row>
    <row r="462" spans="1:2">
      <c r="A462" s="7" t="str">
        <f>SUBSTITUTE(PasteHere!B462,"\&amp;quot;","''")</f>
        <v/>
      </c>
      <c r="B462" s="7" t="str">
        <f>SUBSTITUTE(PasteHere!C462,"\&amp;quot;","''")</f>
        <v/>
      </c>
    </row>
    <row r="463" spans="1:2">
      <c r="A463" s="7" t="str">
        <f>SUBSTITUTE(PasteHere!B463,"\&amp;quot;","''")</f>
        <v/>
      </c>
      <c r="B463" s="7" t="str">
        <f>SUBSTITUTE(PasteHere!C463,"\&amp;quot;","''")</f>
        <v/>
      </c>
    </row>
    <row r="464" spans="1:2">
      <c r="A464" s="7" t="str">
        <f>SUBSTITUTE(PasteHere!B464,"\&amp;quot;","''")</f>
        <v/>
      </c>
      <c r="B464" s="7" t="str">
        <f>SUBSTITUTE(PasteHere!C464,"\&amp;quot;","''")</f>
        <v/>
      </c>
    </row>
    <row r="465" spans="1:2">
      <c r="A465" s="7" t="str">
        <f>SUBSTITUTE(PasteHere!B465,"\&amp;quot;","''")</f>
        <v/>
      </c>
      <c r="B465" s="7" t="str">
        <f>SUBSTITUTE(PasteHere!C465,"\&amp;quot;","''")</f>
        <v/>
      </c>
    </row>
    <row r="466" spans="1:2">
      <c r="A466" s="7" t="str">
        <f>SUBSTITUTE(PasteHere!B466,"\&amp;quot;","''")</f>
        <v/>
      </c>
      <c r="B466" s="7" t="str">
        <f>SUBSTITUTE(PasteHere!C466,"\&amp;quot;","''")</f>
        <v/>
      </c>
    </row>
    <row r="467" spans="1:2">
      <c r="A467" s="7" t="str">
        <f>SUBSTITUTE(PasteHere!B467,"\&amp;quot;","''")</f>
        <v/>
      </c>
      <c r="B467" s="7" t="str">
        <f>SUBSTITUTE(PasteHere!C467,"\&amp;quot;","''")</f>
        <v/>
      </c>
    </row>
    <row r="468" spans="1:2">
      <c r="A468" s="7" t="str">
        <f>SUBSTITUTE(PasteHere!B468,"\&amp;quot;","''")</f>
        <v/>
      </c>
      <c r="B468" s="7" t="str">
        <f>SUBSTITUTE(PasteHere!C468,"\&amp;quot;","''")</f>
        <v/>
      </c>
    </row>
    <row r="469" spans="1:2">
      <c r="A469" s="7" t="str">
        <f>SUBSTITUTE(PasteHere!B469,"\&amp;quot;","''")</f>
        <v/>
      </c>
      <c r="B469" s="7" t="str">
        <f>SUBSTITUTE(PasteHere!C469,"\&amp;quot;","''")</f>
        <v/>
      </c>
    </row>
    <row r="470" spans="1:2">
      <c r="A470" s="7" t="str">
        <f>SUBSTITUTE(PasteHere!B470,"\&amp;quot;","''")</f>
        <v/>
      </c>
      <c r="B470" s="7" t="str">
        <f>SUBSTITUTE(PasteHere!C470,"\&amp;quot;","''")</f>
        <v/>
      </c>
    </row>
    <row r="471" spans="1:2">
      <c r="A471" s="7" t="str">
        <f>SUBSTITUTE(PasteHere!B471,"\&amp;quot;","''")</f>
        <v/>
      </c>
      <c r="B471" s="7" t="str">
        <f>SUBSTITUTE(PasteHere!C471,"\&amp;quot;","''")</f>
        <v/>
      </c>
    </row>
    <row r="472" spans="1:2">
      <c r="A472" s="7" t="str">
        <f>SUBSTITUTE(PasteHere!B472,"\&amp;quot;","''")</f>
        <v/>
      </c>
      <c r="B472" s="7" t="str">
        <f>SUBSTITUTE(PasteHere!C472,"\&amp;quot;","''")</f>
        <v/>
      </c>
    </row>
    <row r="473" spans="1:2">
      <c r="A473" s="7" t="str">
        <f>SUBSTITUTE(PasteHere!B473,"\&amp;quot;","''")</f>
        <v/>
      </c>
      <c r="B473" s="7" t="str">
        <f>SUBSTITUTE(PasteHere!C473,"\&amp;quot;","''")</f>
        <v/>
      </c>
    </row>
    <row r="474" spans="1:2">
      <c r="A474" s="7" t="str">
        <f>SUBSTITUTE(PasteHere!B474,"\&amp;quot;","''")</f>
        <v/>
      </c>
      <c r="B474" s="7" t="str">
        <f>SUBSTITUTE(PasteHere!C474,"\&amp;quot;","''")</f>
        <v/>
      </c>
    </row>
    <row r="475" spans="1:2">
      <c r="A475" s="7" t="str">
        <f>SUBSTITUTE(PasteHere!B475,"\&amp;quot;","''")</f>
        <v/>
      </c>
      <c r="B475" s="7" t="str">
        <f>SUBSTITUTE(PasteHere!C475,"\&amp;quot;","''")</f>
        <v/>
      </c>
    </row>
    <row r="476" spans="1:2">
      <c r="A476" s="7" t="str">
        <f>SUBSTITUTE(PasteHere!B476,"\&amp;quot;","''")</f>
        <v/>
      </c>
      <c r="B476" s="7" t="str">
        <f>SUBSTITUTE(PasteHere!C476,"\&amp;quot;","''")</f>
        <v/>
      </c>
    </row>
    <row r="477" spans="1:2">
      <c r="A477" s="7" t="str">
        <f>SUBSTITUTE(PasteHere!B477,"\&amp;quot;","''")</f>
        <v/>
      </c>
      <c r="B477" s="7" t="str">
        <f>SUBSTITUTE(PasteHere!C477,"\&amp;quot;","''")</f>
        <v/>
      </c>
    </row>
    <row r="478" spans="1:2">
      <c r="A478" s="7" t="str">
        <f>SUBSTITUTE(PasteHere!B478,"\&amp;quot;","''")</f>
        <v/>
      </c>
      <c r="B478" s="7" t="str">
        <f>SUBSTITUTE(PasteHere!C478,"\&amp;quot;","''")</f>
        <v/>
      </c>
    </row>
    <row r="479" spans="1:2">
      <c r="A479" s="7" t="str">
        <f>SUBSTITUTE(PasteHere!B479,"\&amp;quot;","''")</f>
        <v/>
      </c>
      <c r="B479" s="7" t="str">
        <f>SUBSTITUTE(PasteHere!C479,"\&amp;quot;","''")</f>
        <v/>
      </c>
    </row>
    <row r="480" spans="1:2">
      <c r="A480" s="7" t="str">
        <f>SUBSTITUTE(PasteHere!B480,"\&amp;quot;","''")</f>
        <v/>
      </c>
      <c r="B480" s="7" t="str">
        <f>SUBSTITUTE(PasteHere!C480,"\&amp;quot;","''")</f>
        <v/>
      </c>
    </row>
    <row r="481" spans="1:2">
      <c r="A481" s="7" t="str">
        <f>SUBSTITUTE(PasteHere!B481,"\&amp;quot;","''")</f>
        <v/>
      </c>
      <c r="B481" s="7" t="str">
        <f>SUBSTITUTE(PasteHere!C481,"\&amp;quot;","''")</f>
        <v/>
      </c>
    </row>
    <row r="482" spans="1:2">
      <c r="A482" s="7" t="str">
        <f>SUBSTITUTE(PasteHere!B482,"\&amp;quot;","''")</f>
        <v/>
      </c>
      <c r="B482" s="7" t="str">
        <f>SUBSTITUTE(PasteHere!C482,"\&amp;quot;","''")</f>
        <v/>
      </c>
    </row>
    <row r="483" spans="1:2">
      <c r="A483" s="7" t="str">
        <f>SUBSTITUTE(PasteHere!B483,"\&amp;quot;","''")</f>
        <v/>
      </c>
      <c r="B483" s="7" t="str">
        <f>SUBSTITUTE(PasteHere!C483,"\&amp;quot;","''")</f>
        <v/>
      </c>
    </row>
    <row r="484" spans="1:2">
      <c r="A484" s="7" t="str">
        <f>SUBSTITUTE(PasteHere!B484,"\&amp;quot;","''")</f>
        <v/>
      </c>
      <c r="B484" s="7" t="str">
        <f>SUBSTITUTE(PasteHere!C484,"\&amp;quot;","''")</f>
        <v/>
      </c>
    </row>
    <row r="485" spans="1:2">
      <c r="A485" s="7" t="str">
        <f>SUBSTITUTE(PasteHere!B485,"\&amp;quot;","''")</f>
        <v/>
      </c>
      <c r="B485" s="7" t="str">
        <f>SUBSTITUTE(PasteHere!C485,"\&amp;quot;","''")</f>
        <v/>
      </c>
    </row>
    <row r="486" spans="1:2">
      <c r="A486" s="7" t="str">
        <f>SUBSTITUTE(PasteHere!B486,"\&amp;quot;","''")</f>
        <v/>
      </c>
      <c r="B486" s="7" t="str">
        <f>SUBSTITUTE(PasteHere!C486,"\&amp;quot;","''")</f>
        <v/>
      </c>
    </row>
    <row r="487" spans="1:2">
      <c r="A487" s="7" t="str">
        <f>SUBSTITUTE(PasteHere!B487,"\&amp;quot;","''")</f>
        <v/>
      </c>
      <c r="B487" s="7" t="str">
        <f>SUBSTITUTE(PasteHere!C487,"\&amp;quot;","''")</f>
        <v/>
      </c>
    </row>
    <row r="488" spans="1:2">
      <c r="A488" s="7" t="str">
        <f>SUBSTITUTE(PasteHere!B488,"\&amp;quot;","''")</f>
        <v/>
      </c>
      <c r="B488" s="7" t="str">
        <f>SUBSTITUTE(PasteHere!C488,"\&amp;quot;","''")</f>
        <v/>
      </c>
    </row>
    <row r="489" spans="1:2">
      <c r="A489" s="7" t="str">
        <f>SUBSTITUTE(PasteHere!B489,"\&amp;quot;","''")</f>
        <v/>
      </c>
      <c r="B489" s="7" t="str">
        <f>SUBSTITUTE(PasteHere!C489,"\&amp;quot;","''")</f>
        <v/>
      </c>
    </row>
    <row r="490" spans="1:2">
      <c r="A490" s="7" t="str">
        <f>SUBSTITUTE(PasteHere!B490,"\&amp;quot;","''")</f>
        <v/>
      </c>
      <c r="B490" s="7" t="str">
        <f>SUBSTITUTE(PasteHere!C490,"\&amp;quot;","''")</f>
        <v/>
      </c>
    </row>
    <row r="491" spans="1:2">
      <c r="A491" s="7" t="str">
        <f>SUBSTITUTE(PasteHere!B491,"\&amp;quot;","''")</f>
        <v/>
      </c>
      <c r="B491" s="7" t="str">
        <f>SUBSTITUTE(PasteHere!C491,"\&amp;quot;","''")</f>
        <v/>
      </c>
    </row>
    <row r="492" spans="1:2">
      <c r="A492" s="7" t="str">
        <f>SUBSTITUTE(PasteHere!B492,"\&amp;quot;","''")</f>
        <v/>
      </c>
      <c r="B492" s="7" t="str">
        <f>SUBSTITUTE(PasteHere!C492,"\&amp;quot;","''")</f>
        <v/>
      </c>
    </row>
    <row r="493" spans="1:2">
      <c r="A493" s="7" t="str">
        <f>SUBSTITUTE(PasteHere!B493,"\&amp;quot;","''")</f>
        <v/>
      </c>
      <c r="B493" s="7" t="str">
        <f>SUBSTITUTE(PasteHere!C493,"\&amp;quot;","''")</f>
        <v/>
      </c>
    </row>
    <row r="494" spans="1:2">
      <c r="A494" s="7" t="str">
        <f>SUBSTITUTE(PasteHere!B494,"\&amp;quot;","''")</f>
        <v/>
      </c>
      <c r="B494" s="7" t="str">
        <f>SUBSTITUTE(PasteHere!C494,"\&amp;quot;","''")</f>
        <v/>
      </c>
    </row>
    <row r="495" spans="1:2">
      <c r="A495" s="7" t="str">
        <f>SUBSTITUTE(PasteHere!B495,"\&amp;quot;","''")</f>
        <v/>
      </c>
      <c r="B495" s="7" t="str">
        <f>SUBSTITUTE(PasteHere!C495,"\&amp;quot;","''")</f>
        <v/>
      </c>
    </row>
    <row r="496" spans="1:2">
      <c r="A496" s="7" t="str">
        <f>SUBSTITUTE(PasteHere!B496,"\&amp;quot;","''")</f>
        <v/>
      </c>
      <c r="B496" s="7" t="str">
        <f>SUBSTITUTE(PasteHere!C496,"\&amp;quot;","''")</f>
        <v/>
      </c>
    </row>
    <row r="497" spans="1:2">
      <c r="A497" s="7" t="str">
        <f>SUBSTITUTE(PasteHere!B497,"\&amp;quot;","''")</f>
        <v/>
      </c>
      <c r="B497" s="7" t="str">
        <f>SUBSTITUTE(PasteHere!C497,"\&amp;quot;","''")</f>
        <v/>
      </c>
    </row>
    <row r="498" spans="1:2">
      <c r="A498" s="7" t="str">
        <f>SUBSTITUTE(PasteHere!B498,"\&amp;quot;","''")</f>
        <v/>
      </c>
      <c r="B498" s="7" t="str">
        <f>SUBSTITUTE(PasteHere!C498,"\&amp;quot;","''")</f>
        <v/>
      </c>
    </row>
    <row r="499" spans="1:2">
      <c r="A499" s="7" t="str">
        <f>SUBSTITUTE(PasteHere!B499,"\&amp;quot;","''")</f>
        <v/>
      </c>
      <c r="B499" s="7" t="str">
        <f>SUBSTITUTE(PasteHere!C499,"\&amp;quot;","''")</f>
        <v/>
      </c>
    </row>
    <row r="500" spans="1:2">
      <c r="A500" s="7" t="str">
        <f>SUBSTITUTE(PasteHere!B500,"\&amp;quot;","''")</f>
        <v/>
      </c>
      <c r="B500" s="7" t="str">
        <f>SUBSTITUTE(PasteHere!C500,"\&amp;quot;","''")</f>
        <v/>
      </c>
    </row>
    <row r="501" spans="1:2">
      <c r="A501" s="7" t="str">
        <f>SUBSTITUTE(PasteHere!B501,"\&amp;quot;","''")</f>
        <v/>
      </c>
      <c r="B501" s="7" t="str">
        <f>SUBSTITUTE(PasteHere!C501,"\&amp;quot;","''")</f>
        <v/>
      </c>
    </row>
    <row r="502" spans="1:2">
      <c r="A502" s="7" t="str">
        <f>SUBSTITUTE(PasteHere!B502,"\&amp;quot;","''")</f>
        <v/>
      </c>
      <c r="B502" s="7" t="str">
        <f>SUBSTITUTE(PasteHere!C502,"\&amp;quot;","''")</f>
        <v/>
      </c>
    </row>
    <row r="503" spans="1:2">
      <c r="A503" s="7" t="str">
        <f>SUBSTITUTE(PasteHere!B503,"\&amp;quot;","''")</f>
        <v/>
      </c>
      <c r="B503" s="7" t="str">
        <f>SUBSTITUTE(PasteHere!C503,"\&amp;quot;","''")</f>
        <v/>
      </c>
    </row>
    <row r="504" spans="1:2">
      <c r="A504" s="7" t="str">
        <f>SUBSTITUTE(PasteHere!B504,"\&amp;quot;","''")</f>
        <v/>
      </c>
      <c r="B504" s="7" t="str">
        <f>SUBSTITUTE(PasteHere!C504,"\&amp;quot;","''")</f>
        <v/>
      </c>
    </row>
    <row r="505" spans="1:2">
      <c r="A505" s="7" t="str">
        <f>SUBSTITUTE(PasteHere!B505,"\&amp;quot;","''")</f>
        <v/>
      </c>
      <c r="B505" s="7" t="str">
        <f>SUBSTITUTE(PasteHere!C505,"\&amp;quot;","''")</f>
        <v/>
      </c>
    </row>
    <row r="506" spans="1:2">
      <c r="A506" s="7" t="str">
        <f>SUBSTITUTE(PasteHere!B506,"\&amp;quot;","''")</f>
        <v/>
      </c>
      <c r="B506" s="7" t="str">
        <f>SUBSTITUTE(PasteHere!C506,"\&amp;quot;","''")</f>
        <v/>
      </c>
    </row>
    <row r="507" spans="1:2">
      <c r="A507" s="7" t="str">
        <f>SUBSTITUTE(PasteHere!B507,"\&amp;quot;","''")</f>
        <v/>
      </c>
      <c r="B507" s="7" t="str">
        <f>SUBSTITUTE(PasteHere!C507,"\&amp;quot;","''")</f>
        <v/>
      </c>
    </row>
    <row r="508" spans="1:2">
      <c r="A508" s="7" t="str">
        <f>SUBSTITUTE(PasteHere!B508,"\&amp;quot;","''")</f>
        <v/>
      </c>
      <c r="B508" s="7" t="str">
        <f>SUBSTITUTE(PasteHere!C508,"\&amp;quot;","''")</f>
        <v/>
      </c>
    </row>
    <row r="509" spans="1:2">
      <c r="A509" s="7" t="str">
        <f>SUBSTITUTE(PasteHere!B509,"\&amp;quot;","''")</f>
        <v/>
      </c>
      <c r="B509" s="7" t="str">
        <f>SUBSTITUTE(PasteHere!C509,"\&amp;quot;","''")</f>
        <v/>
      </c>
    </row>
    <row r="510" spans="1:2">
      <c r="A510" s="7" t="str">
        <f>SUBSTITUTE(PasteHere!B510,"\&amp;quot;","''")</f>
        <v/>
      </c>
      <c r="B510" s="7" t="str">
        <f>SUBSTITUTE(PasteHere!C510,"\&amp;quot;","''")</f>
        <v/>
      </c>
    </row>
    <row r="511" spans="1:2">
      <c r="A511" s="7" t="str">
        <f>SUBSTITUTE(PasteHere!B511,"\&amp;quot;","''")</f>
        <v/>
      </c>
      <c r="B511" s="7" t="str">
        <f>SUBSTITUTE(PasteHere!C511,"\&amp;quot;","''")</f>
        <v/>
      </c>
    </row>
    <row r="512" spans="1:2">
      <c r="A512" s="7" t="str">
        <f>SUBSTITUTE(PasteHere!B512,"\&amp;quot;","''")</f>
        <v/>
      </c>
      <c r="B512" s="7" t="str">
        <f>SUBSTITUTE(PasteHere!C512,"\&amp;quot;","''")</f>
        <v/>
      </c>
    </row>
    <row r="513" spans="1:2">
      <c r="A513" s="7" t="str">
        <f>SUBSTITUTE(PasteHere!B513,"\&amp;quot;","''")</f>
        <v/>
      </c>
      <c r="B513" s="7" t="str">
        <f>SUBSTITUTE(PasteHere!C513,"\&amp;quot;","''")</f>
        <v/>
      </c>
    </row>
    <row r="514" spans="1:2">
      <c r="A514" s="7" t="str">
        <f>SUBSTITUTE(PasteHere!B514,"\&amp;quot;","''")</f>
        <v/>
      </c>
      <c r="B514" s="7" t="str">
        <f>SUBSTITUTE(PasteHere!C514,"\&amp;quot;","''")</f>
        <v/>
      </c>
    </row>
    <row r="515" spans="1:2">
      <c r="A515" s="7" t="str">
        <f>SUBSTITUTE(PasteHere!B515,"\&amp;quot;","''")</f>
        <v/>
      </c>
      <c r="B515" s="7" t="str">
        <f>SUBSTITUTE(PasteHere!C515,"\&amp;quot;","''")</f>
        <v/>
      </c>
    </row>
    <row r="516" spans="1:2">
      <c r="A516" s="7" t="str">
        <f>SUBSTITUTE(PasteHere!B516,"\&amp;quot;","''")</f>
        <v/>
      </c>
      <c r="B516" s="7" t="str">
        <f>SUBSTITUTE(PasteHere!C516,"\&amp;quot;","''")</f>
        <v/>
      </c>
    </row>
    <row r="517" spans="1:2">
      <c r="A517" s="7" t="str">
        <f>SUBSTITUTE(PasteHere!B517,"\&amp;quot;","''")</f>
        <v/>
      </c>
      <c r="B517" s="7" t="str">
        <f>SUBSTITUTE(PasteHere!C517,"\&amp;quot;","''")</f>
        <v/>
      </c>
    </row>
    <row r="518" spans="1:2">
      <c r="A518" s="7" t="str">
        <f>SUBSTITUTE(PasteHere!B518,"\&amp;quot;","''")</f>
        <v/>
      </c>
      <c r="B518" s="7" t="str">
        <f>SUBSTITUTE(PasteHere!C518,"\&amp;quot;","''")</f>
        <v/>
      </c>
    </row>
    <row r="519" spans="1:2">
      <c r="A519" s="7" t="str">
        <f>SUBSTITUTE(PasteHere!B519,"\&amp;quot;","''")</f>
        <v/>
      </c>
      <c r="B519" s="7" t="str">
        <f>SUBSTITUTE(PasteHere!C519,"\&amp;quot;","''")</f>
        <v/>
      </c>
    </row>
    <row r="520" spans="1:2">
      <c r="A520" s="7" t="str">
        <f>SUBSTITUTE(PasteHere!B520,"\&amp;quot;","''")</f>
        <v/>
      </c>
      <c r="B520" s="7" t="str">
        <f>SUBSTITUTE(PasteHere!C520,"\&amp;quot;","''")</f>
        <v/>
      </c>
    </row>
    <row r="521" spans="1:2">
      <c r="A521" s="7" t="str">
        <f>SUBSTITUTE(PasteHere!B521,"\&amp;quot;","''")</f>
        <v/>
      </c>
      <c r="B521" s="7" t="str">
        <f>SUBSTITUTE(PasteHere!C521,"\&amp;quot;","''")</f>
        <v/>
      </c>
    </row>
    <row r="522" spans="1:2">
      <c r="A522" s="7" t="str">
        <f>SUBSTITUTE(PasteHere!B522,"\&amp;quot;","''")</f>
        <v/>
      </c>
      <c r="B522" s="7" t="str">
        <f>SUBSTITUTE(PasteHere!C522,"\&amp;quot;","''")</f>
        <v/>
      </c>
    </row>
    <row r="523" spans="1:2">
      <c r="A523" s="7" t="str">
        <f>SUBSTITUTE(PasteHere!B523,"\&amp;quot;","''")</f>
        <v/>
      </c>
      <c r="B523" s="7" t="str">
        <f>SUBSTITUTE(PasteHere!C523,"\&amp;quot;","''")</f>
        <v/>
      </c>
    </row>
    <row r="524" spans="1:2">
      <c r="A524" s="7" t="str">
        <f>SUBSTITUTE(PasteHere!B524,"\&amp;quot;","''")</f>
        <v/>
      </c>
      <c r="B524" s="7" t="str">
        <f>SUBSTITUTE(PasteHere!C524,"\&amp;quot;","''")</f>
        <v/>
      </c>
    </row>
    <row r="525" spans="1:2">
      <c r="A525" s="7" t="str">
        <f>SUBSTITUTE(PasteHere!B525,"\&amp;quot;","''")</f>
        <v/>
      </c>
      <c r="B525" s="7" t="str">
        <f>SUBSTITUTE(PasteHere!C525,"\&amp;quot;","''")</f>
        <v/>
      </c>
    </row>
    <row r="526" spans="1:2">
      <c r="A526" s="7" t="str">
        <f>SUBSTITUTE(PasteHere!B526,"\&amp;quot;","''")</f>
        <v/>
      </c>
      <c r="B526" s="7" t="str">
        <f>SUBSTITUTE(PasteHere!C526,"\&amp;quot;","''")</f>
        <v/>
      </c>
    </row>
    <row r="527" spans="1:2">
      <c r="A527" s="7" t="str">
        <f>SUBSTITUTE(PasteHere!B527,"\&amp;quot;","''")</f>
        <v/>
      </c>
      <c r="B527" s="7" t="str">
        <f>SUBSTITUTE(PasteHere!C527,"\&amp;quot;","''")</f>
        <v/>
      </c>
    </row>
    <row r="528" spans="1:2">
      <c r="A528" s="7" t="str">
        <f>SUBSTITUTE(PasteHere!B528,"\&amp;quot;","''")</f>
        <v/>
      </c>
      <c r="B528" s="7" t="str">
        <f>SUBSTITUTE(PasteHere!C528,"\&amp;quot;","''")</f>
        <v/>
      </c>
    </row>
    <row r="529" spans="1:2">
      <c r="A529" s="7" t="str">
        <f>SUBSTITUTE(PasteHere!B529,"\&amp;quot;","''")</f>
        <v/>
      </c>
      <c r="B529" s="7" t="str">
        <f>SUBSTITUTE(PasteHere!C529,"\&amp;quot;","''")</f>
        <v/>
      </c>
    </row>
    <row r="530" spans="1:2">
      <c r="A530" s="7" t="str">
        <f>SUBSTITUTE(PasteHere!B530,"\&amp;quot;","''")</f>
        <v/>
      </c>
      <c r="B530" s="7" t="str">
        <f>SUBSTITUTE(PasteHere!C530,"\&amp;quot;","''")</f>
        <v/>
      </c>
    </row>
    <row r="531" spans="1:2">
      <c r="A531" s="7" t="str">
        <f>SUBSTITUTE(PasteHere!B531,"\&amp;quot;","''")</f>
        <v/>
      </c>
      <c r="B531" s="7" t="str">
        <f>SUBSTITUTE(PasteHere!C531,"\&amp;quot;","''")</f>
        <v/>
      </c>
    </row>
    <row r="532" spans="1:2">
      <c r="A532" s="7" t="str">
        <f>SUBSTITUTE(PasteHere!B532,"\&amp;quot;","''")</f>
        <v/>
      </c>
      <c r="B532" s="7" t="str">
        <f>SUBSTITUTE(PasteHere!C532,"\&amp;quot;","''")</f>
        <v/>
      </c>
    </row>
    <row r="533" spans="1:2">
      <c r="A533" s="7" t="str">
        <f>SUBSTITUTE(PasteHere!B533,"\&amp;quot;","''")</f>
        <v/>
      </c>
      <c r="B533" s="7" t="str">
        <f>SUBSTITUTE(PasteHere!C533,"\&amp;quot;","''")</f>
        <v/>
      </c>
    </row>
    <row r="534" spans="1:2">
      <c r="A534" s="7" t="str">
        <f>SUBSTITUTE(PasteHere!B534,"\&amp;quot;","''")</f>
        <v/>
      </c>
      <c r="B534" s="7" t="str">
        <f>SUBSTITUTE(PasteHere!C534,"\&amp;quot;","''")</f>
        <v/>
      </c>
    </row>
    <row r="535" spans="1:2">
      <c r="A535" s="7" t="str">
        <f>SUBSTITUTE(PasteHere!B535,"\&amp;quot;","''")</f>
        <v/>
      </c>
      <c r="B535" s="7" t="str">
        <f>SUBSTITUTE(PasteHere!C535,"\&amp;quot;","''")</f>
        <v/>
      </c>
    </row>
    <row r="536" spans="1:2">
      <c r="A536" s="7" t="str">
        <f>SUBSTITUTE(PasteHere!B536,"\&amp;quot;","''")</f>
        <v/>
      </c>
      <c r="B536" s="7" t="str">
        <f>SUBSTITUTE(PasteHere!C536,"\&amp;quot;","''")</f>
        <v/>
      </c>
    </row>
    <row r="537" spans="1:2">
      <c r="A537" s="7" t="str">
        <f>SUBSTITUTE(PasteHere!B537,"\&amp;quot;","''")</f>
        <v/>
      </c>
      <c r="B537" s="7" t="str">
        <f>SUBSTITUTE(PasteHere!C537,"\&amp;quot;","''")</f>
        <v/>
      </c>
    </row>
    <row r="538" spans="1:2">
      <c r="A538" s="7" t="str">
        <f>SUBSTITUTE(PasteHere!B538,"\&amp;quot;","''")</f>
        <v/>
      </c>
      <c r="B538" s="7" t="str">
        <f>SUBSTITUTE(PasteHere!C538,"\&amp;quot;","''")</f>
        <v/>
      </c>
    </row>
    <row r="539" spans="1:2">
      <c r="A539" s="7" t="str">
        <f>SUBSTITUTE(PasteHere!B539,"\&amp;quot;","''")</f>
        <v/>
      </c>
      <c r="B539" s="7" t="str">
        <f>SUBSTITUTE(PasteHere!C539,"\&amp;quot;","''")</f>
        <v/>
      </c>
    </row>
    <row r="540" spans="1:2">
      <c r="A540" s="7" t="str">
        <f>SUBSTITUTE(PasteHere!B540,"\&amp;quot;","''")</f>
        <v/>
      </c>
      <c r="B540" s="7" t="str">
        <f>SUBSTITUTE(PasteHere!C540,"\&amp;quot;","''")</f>
        <v/>
      </c>
    </row>
    <row r="541" spans="1:2">
      <c r="A541" s="7" t="str">
        <f>SUBSTITUTE(PasteHere!B541,"\&amp;quot;","''")</f>
        <v/>
      </c>
      <c r="B541" s="7" t="str">
        <f>SUBSTITUTE(PasteHere!C541,"\&amp;quot;","''")</f>
        <v/>
      </c>
    </row>
    <row r="542" spans="1:2">
      <c r="A542" s="7" t="str">
        <f>SUBSTITUTE(PasteHere!B542,"\&amp;quot;","''")</f>
        <v/>
      </c>
      <c r="B542" s="7" t="str">
        <f>SUBSTITUTE(PasteHere!C542,"\&amp;quot;","''")</f>
        <v/>
      </c>
    </row>
    <row r="543" spans="1:2">
      <c r="A543" s="7" t="str">
        <f>SUBSTITUTE(PasteHere!B543,"\&amp;quot;","''")</f>
        <v/>
      </c>
      <c r="B543" s="7" t="str">
        <f>SUBSTITUTE(PasteHere!C543,"\&amp;quot;","''")</f>
        <v/>
      </c>
    </row>
    <row r="544" spans="1:2">
      <c r="A544" s="7" t="str">
        <f>SUBSTITUTE(PasteHere!B544,"\&amp;quot;","''")</f>
        <v/>
      </c>
      <c r="B544" s="7" t="str">
        <f>SUBSTITUTE(PasteHere!C544,"\&amp;quot;","''")</f>
        <v/>
      </c>
    </row>
    <row r="545" spans="1:2">
      <c r="A545" s="7" t="str">
        <f>SUBSTITUTE(PasteHere!B545,"\&amp;quot;","''")</f>
        <v/>
      </c>
      <c r="B545" s="7" t="str">
        <f>SUBSTITUTE(PasteHere!C545,"\&amp;quot;","''")</f>
        <v/>
      </c>
    </row>
    <row r="546" spans="1:2">
      <c r="A546" s="7" t="str">
        <f>SUBSTITUTE(PasteHere!B546,"\&amp;quot;","''")</f>
        <v/>
      </c>
      <c r="B546" s="7" t="str">
        <f>SUBSTITUTE(PasteHere!C546,"\&amp;quot;","''")</f>
        <v/>
      </c>
    </row>
    <row r="547" spans="1:2">
      <c r="A547" s="7" t="str">
        <f>SUBSTITUTE(PasteHere!B547,"\&amp;quot;","''")</f>
        <v/>
      </c>
      <c r="B547" s="7" t="str">
        <f>SUBSTITUTE(PasteHere!C547,"\&amp;quot;","''")</f>
        <v/>
      </c>
    </row>
    <row r="548" spans="1:2">
      <c r="A548" s="7" t="str">
        <f>SUBSTITUTE(PasteHere!B548,"\&amp;quot;","''")</f>
        <v/>
      </c>
      <c r="B548" s="7" t="str">
        <f>SUBSTITUTE(PasteHere!C548,"\&amp;quot;","''")</f>
        <v/>
      </c>
    </row>
    <row r="549" spans="1:2">
      <c r="A549" s="7" t="str">
        <f>SUBSTITUTE(PasteHere!B549,"\&amp;quot;","''")</f>
        <v/>
      </c>
      <c r="B549" s="7" t="str">
        <f>SUBSTITUTE(PasteHere!C549,"\&amp;quot;","''")</f>
        <v/>
      </c>
    </row>
    <row r="550" spans="1:2">
      <c r="A550" s="7" t="str">
        <f>SUBSTITUTE(PasteHere!B550,"\&amp;quot;","''")</f>
        <v/>
      </c>
      <c r="B550" s="7" t="str">
        <f>SUBSTITUTE(PasteHere!C550,"\&amp;quot;","''")</f>
        <v/>
      </c>
    </row>
    <row r="551" spans="1:2">
      <c r="A551" s="7" t="str">
        <f>SUBSTITUTE(PasteHere!B551,"\&amp;quot;","''")</f>
        <v/>
      </c>
      <c r="B551" s="7" t="str">
        <f>SUBSTITUTE(PasteHere!C551,"\&amp;quot;","''")</f>
        <v/>
      </c>
    </row>
    <row r="552" spans="1:2">
      <c r="A552" s="7" t="str">
        <f>SUBSTITUTE(PasteHere!B552,"\&amp;quot;","''")</f>
        <v/>
      </c>
      <c r="B552" s="7" t="str">
        <f>SUBSTITUTE(PasteHere!C552,"\&amp;quot;","''")</f>
        <v/>
      </c>
    </row>
    <row r="553" spans="1:2">
      <c r="A553" s="7" t="str">
        <f>SUBSTITUTE(PasteHere!B553,"\&amp;quot;","''")</f>
        <v/>
      </c>
      <c r="B553" s="7" t="str">
        <f>SUBSTITUTE(PasteHere!C553,"\&amp;quot;","''")</f>
        <v/>
      </c>
    </row>
    <row r="554" spans="1:2">
      <c r="A554" s="7" t="str">
        <f>SUBSTITUTE(PasteHere!B554,"\&amp;quot;","''")</f>
        <v/>
      </c>
      <c r="B554" s="7" t="str">
        <f>SUBSTITUTE(PasteHere!C554,"\&amp;quot;","''")</f>
        <v/>
      </c>
    </row>
    <row r="555" spans="1:2">
      <c r="A555" s="7" t="str">
        <f>SUBSTITUTE(PasteHere!B555,"\&amp;quot;","''")</f>
        <v/>
      </c>
      <c r="B555" s="7" t="str">
        <f>SUBSTITUTE(PasteHere!C555,"\&amp;quot;","''")</f>
        <v/>
      </c>
    </row>
    <row r="556" spans="1:2">
      <c r="A556" s="7" t="str">
        <f>SUBSTITUTE(PasteHere!B556,"\&amp;quot;","''")</f>
        <v/>
      </c>
      <c r="B556" s="7" t="str">
        <f>SUBSTITUTE(PasteHere!C556,"\&amp;quot;","''")</f>
        <v/>
      </c>
    </row>
    <row r="557" spans="1:2">
      <c r="A557" s="7" t="str">
        <f>SUBSTITUTE(PasteHere!B557,"\&amp;quot;","''")</f>
        <v/>
      </c>
      <c r="B557" s="7" t="str">
        <f>SUBSTITUTE(PasteHere!C557,"\&amp;quot;","''")</f>
        <v/>
      </c>
    </row>
    <row r="558" spans="1:2">
      <c r="A558" s="7" t="str">
        <f>SUBSTITUTE(PasteHere!B558,"\&amp;quot;","''")</f>
        <v/>
      </c>
      <c r="B558" s="7" t="str">
        <f>SUBSTITUTE(PasteHere!C558,"\&amp;quot;","''")</f>
        <v/>
      </c>
    </row>
    <row r="559" spans="1:2">
      <c r="A559" s="7" t="str">
        <f>SUBSTITUTE(PasteHere!B559,"\&amp;quot;","''")</f>
        <v/>
      </c>
      <c r="B559" s="7" t="str">
        <f>SUBSTITUTE(PasteHere!C559,"\&amp;quot;","''")</f>
        <v/>
      </c>
    </row>
    <row r="560" spans="1:2">
      <c r="A560" s="7" t="str">
        <f>SUBSTITUTE(PasteHere!B560,"\&amp;quot;","''")</f>
        <v/>
      </c>
      <c r="B560" s="7" t="str">
        <f>SUBSTITUTE(PasteHere!C560,"\&amp;quot;","''")</f>
        <v/>
      </c>
    </row>
    <row r="561" spans="1:2">
      <c r="A561" s="7" t="str">
        <f>SUBSTITUTE(PasteHere!B561,"\&amp;quot;","''")</f>
        <v/>
      </c>
      <c r="B561" s="7" t="str">
        <f>SUBSTITUTE(PasteHere!C561,"\&amp;quot;","''")</f>
        <v/>
      </c>
    </row>
    <row r="562" spans="1:2">
      <c r="A562" s="7" t="str">
        <f>SUBSTITUTE(PasteHere!B562,"\&amp;quot;","''")</f>
        <v/>
      </c>
      <c r="B562" s="7" t="str">
        <f>SUBSTITUTE(PasteHere!C562,"\&amp;quot;","''")</f>
        <v/>
      </c>
    </row>
    <row r="563" spans="1:2">
      <c r="A563" s="7" t="str">
        <f>SUBSTITUTE(PasteHere!B563,"\&amp;quot;","''")</f>
        <v/>
      </c>
      <c r="B563" s="7" t="str">
        <f>SUBSTITUTE(PasteHere!C563,"\&amp;quot;","''")</f>
        <v/>
      </c>
    </row>
    <row r="564" spans="1:2">
      <c r="A564" s="7" t="str">
        <f>SUBSTITUTE(PasteHere!B564,"\&amp;quot;","''")</f>
        <v/>
      </c>
      <c r="B564" s="7" t="str">
        <f>SUBSTITUTE(PasteHere!C564,"\&amp;quot;","''")</f>
        <v/>
      </c>
    </row>
    <row r="565" spans="1:2">
      <c r="A565" s="7" t="str">
        <f>SUBSTITUTE(PasteHere!B565,"\&amp;quot;","''")</f>
        <v/>
      </c>
      <c r="B565" s="7" t="str">
        <f>SUBSTITUTE(PasteHere!C565,"\&amp;quot;","''")</f>
        <v/>
      </c>
    </row>
    <row r="566" spans="1:2">
      <c r="A566" s="7" t="str">
        <f>SUBSTITUTE(PasteHere!B566,"\&amp;quot;","''")</f>
        <v/>
      </c>
      <c r="B566" s="7" t="str">
        <f>SUBSTITUTE(PasteHere!C566,"\&amp;quot;","''")</f>
        <v/>
      </c>
    </row>
    <row r="567" spans="1:2">
      <c r="A567" s="7" t="str">
        <f>SUBSTITUTE(PasteHere!B567,"\&amp;quot;","''")</f>
        <v/>
      </c>
      <c r="B567" s="7" t="str">
        <f>SUBSTITUTE(PasteHere!C567,"\&amp;quot;","''")</f>
        <v/>
      </c>
    </row>
    <row r="568" spans="1:2">
      <c r="A568" s="7" t="str">
        <f>SUBSTITUTE(PasteHere!B568,"\&amp;quot;","''")</f>
        <v/>
      </c>
      <c r="B568" s="7" t="str">
        <f>SUBSTITUTE(PasteHere!C568,"\&amp;quot;","''")</f>
        <v/>
      </c>
    </row>
    <row r="569" spans="1:2">
      <c r="A569" s="7" t="str">
        <f>SUBSTITUTE(PasteHere!B569,"\&amp;quot;","''")</f>
        <v/>
      </c>
      <c r="B569" s="7" t="str">
        <f>SUBSTITUTE(PasteHere!C569,"\&amp;quot;","''")</f>
        <v/>
      </c>
    </row>
    <row r="570" spans="1:2">
      <c r="A570" s="7" t="str">
        <f>SUBSTITUTE(PasteHere!B570,"\&amp;quot;","''")</f>
        <v/>
      </c>
      <c r="B570" s="7" t="str">
        <f>SUBSTITUTE(PasteHere!C570,"\&amp;quot;","''")</f>
        <v/>
      </c>
    </row>
    <row r="571" spans="1:2">
      <c r="A571" s="7" t="str">
        <f>SUBSTITUTE(PasteHere!B571,"\&amp;quot;","''")</f>
        <v/>
      </c>
      <c r="B571" s="7" t="str">
        <f>SUBSTITUTE(PasteHere!C571,"\&amp;quot;","''")</f>
        <v/>
      </c>
    </row>
    <row r="572" spans="1:2">
      <c r="A572" s="7" t="str">
        <f>SUBSTITUTE(PasteHere!B572,"\&amp;quot;","''")</f>
        <v/>
      </c>
      <c r="B572" s="7" t="str">
        <f>SUBSTITUTE(PasteHere!C572,"\&amp;quot;","''")</f>
        <v/>
      </c>
    </row>
    <row r="573" spans="1:2">
      <c r="A573" s="7" t="str">
        <f>SUBSTITUTE(PasteHere!B573,"\&amp;quot;","''")</f>
        <v/>
      </c>
      <c r="B573" s="7" t="str">
        <f>SUBSTITUTE(PasteHere!C573,"\&amp;quot;","''")</f>
        <v/>
      </c>
    </row>
    <row r="574" spans="1:2">
      <c r="A574" s="7" t="str">
        <f>SUBSTITUTE(PasteHere!B574,"\&amp;quot;","''")</f>
        <v/>
      </c>
      <c r="B574" s="7" t="str">
        <f>SUBSTITUTE(PasteHere!C574,"\&amp;quot;","''")</f>
        <v/>
      </c>
    </row>
    <row r="575" spans="1:2">
      <c r="A575" s="7" t="str">
        <f>SUBSTITUTE(PasteHere!B575,"\&amp;quot;","''")</f>
        <v/>
      </c>
      <c r="B575" s="7" t="str">
        <f>SUBSTITUTE(PasteHere!C575,"\&amp;quot;","''")</f>
        <v/>
      </c>
    </row>
    <row r="576" spans="1:2">
      <c r="A576" s="7" t="str">
        <f>SUBSTITUTE(PasteHere!B576,"\&amp;quot;","''")</f>
        <v/>
      </c>
      <c r="B576" s="7" t="str">
        <f>SUBSTITUTE(PasteHere!C576,"\&amp;quot;","''")</f>
        <v/>
      </c>
    </row>
    <row r="577" spans="1:2">
      <c r="A577" s="7" t="str">
        <f>SUBSTITUTE(PasteHere!B577,"\&amp;quot;","''")</f>
        <v/>
      </c>
      <c r="B577" s="7" t="str">
        <f>SUBSTITUTE(PasteHere!C577,"\&amp;quot;","''")</f>
        <v/>
      </c>
    </row>
    <row r="578" spans="1:2">
      <c r="A578" s="7" t="str">
        <f>SUBSTITUTE(PasteHere!B578,"\&amp;quot;","''")</f>
        <v/>
      </c>
      <c r="B578" s="7" t="str">
        <f>SUBSTITUTE(PasteHere!C578,"\&amp;quot;","''")</f>
        <v/>
      </c>
    </row>
    <row r="579" spans="1:2">
      <c r="A579" s="7" t="str">
        <f>SUBSTITUTE(PasteHere!B579,"\&amp;quot;","''")</f>
        <v/>
      </c>
      <c r="B579" s="7" t="str">
        <f>SUBSTITUTE(PasteHere!C579,"\&amp;quot;","''")</f>
        <v/>
      </c>
    </row>
    <row r="580" spans="1:2">
      <c r="A580" s="7" t="str">
        <f>SUBSTITUTE(PasteHere!B580,"\&amp;quot;","''")</f>
        <v/>
      </c>
      <c r="B580" s="7" t="str">
        <f>SUBSTITUTE(PasteHere!C580,"\&amp;quot;","''")</f>
        <v/>
      </c>
    </row>
    <row r="581" spans="1:2">
      <c r="A581" s="7" t="str">
        <f>SUBSTITUTE(PasteHere!B581,"\&amp;quot;","''")</f>
        <v/>
      </c>
      <c r="B581" s="7" t="str">
        <f>SUBSTITUTE(PasteHere!C581,"\&amp;quot;","''")</f>
        <v/>
      </c>
    </row>
    <row r="582" spans="1:2">
      <c r="A582" s="7" t="str">
        <f>SUBSTITUTE(PasteHere!B582,"\&amp;quot;","''")</f>
        <v/>
      </c>
      <c r="B582" s="7" t="str">
        <f>SUBSTITUTE(PasteHere!C582,"\&amp;quot;","''")</f>
        <v/>
      </c>
    </row>
    <row r="583" spans="1:2">
      <c r="A583" s="7" t="str">
        <f>SUBSTITUTE(PasteHere!B583,"\&amp;quot;","''")</f>
        <v/>
      </c>
      <c r="B583" s="7" t="str">
        <f>SUBSTITUTE(PasteHere!C583,"\&amp;quot;","''")</f>
        <v/>
      </c>
    </row>
    <row r="584" spans="1:2">
      <c r="A584" s="7" t="str">
        <f>SUBSTITUTE(PasteHere!B584,"\&amp;quot;","''")</f>
        <v/>
      </c>
      <c r="B584" s="7" t="str">
        <f>SUBSTITUTE(PasteHere!C584,"\&amp;quot;","''")</f>
        <v/>
      </c>
    </row>
    <row r="585" spans="1:2">
      <c r="A585" s="7" t="str">
        <f>SUBSTITUTE(PasteHere!B585,"\&amp;quot;","''")</f>
        <v/>
      </c>
      <c r="B585" s="7" t="str">
        <f>SUBSTITUTE(PasteHere!C585,"\&amp;quot;","''")</f>
        <v/>
      </c>
    </row>
    <row r="586" spans="1:2">
      <c r="A586" s="7" t="str">
        <f>SUBSTITUTE(PasteHere!B586,"\&amp;quot;","''")</f>
        <v/>
      </c>
      <c r="B586" s="7" t="str">
        <f>SUBSTITUTE(PasteHere!C586,"\&amp;quot;","''")</f>
        <v/>
      </c>
    </row>
    <row r="587" spans="1:2">
      <c r="A587" s="7" t="str">
        <f>SUBSTITUTE(PasteHere!B587,"\&amp;quot;","''")</f>
        <v/>
      </c>
      <c r="B587" s="7" t="str">
        <f>SUBSTITUTE(PasteHere!C587,"\&amp;quot;","''")</f>
        <v/>
      </c>
    </row>
    <row r="588" spans="1:2">
      <c r="A588" s="7" t="str">
        <f>SUBSTITUTE(PasteHere!B588,"\&amp;quot;","''")</f>
        <v/>
      </c>
      <c r="B588" s="7" t="str">
        <f>SUBSTITUTE(PasteHere!C588,"\&amp;quot;","''")</f>
        <v/>
      </c>
    </row>
    <row r="589" spans="1:2">
      <c r="A589" s="7" t="str">
        <f>SUBSTITUTE(PasteHere!B589,"\&amp;quot;","''")</f>
        <v/>
      </c>
      <c r="B589" s="7" t="str">
        <f>SUBSTITUTE(PasteHere!C589,"\&amp;quot;","''")</f>
        <v/>
      </c>
    </row>
    <row r="590" spans="1:2">
      <c r="A590" s="7" t="str">
        <f>SUBSTITUTE(PasteHere!B590,"\&amp;quot;","''")</f>
        <v/>
      </c>
      <c r="B590" s="7" t="str">
        <f>SUBSTITUTE(PasteHere!C590,"\&amp;quot;","''")</f>
        <v/>
      </c>
    </row>
    <row r="591" spans="1:2">
      <c r="A591" s="7" t="str">
        <f>SUBSTITUTE(PasteHere!B591,"\&amp;quot;","''")</f>
        <v/>
      </c>
      <c r="B591" s="7" t="str">
        <f>SUBSTITUTE(PasteHere!C591,"\&amp;quot;","''")</f>
        <v/>
      </c>
    </row>
    <row r="592" spans="1:2">
      <c r="A592" s="7" t="str">
        <f>SUBSTITUTE(PasteHere!B592,"\&amp;quot;","''")</f>
        <v/>
      </c>
      <c r="B592" s="7" t="str">
        <f>SUBSTITUTE(PasteHere!C592,"\&amp;quot;","''")</f>
        <v/>
      </c>
    </row>
    <row r="593" spans="1:2">
      <c r="A593" s="7" t="str">
        <f>SUBSTITUTE(PasteHere!B593,"\&amp;quot;","''")</f>
        <v/>
      </c>
      <c r="B593" s="7" t="str">
        <f>SUBSTITUTE(PasteHere!C593,"\&amp;quot;","''")</f>
        <v/>
      </c>
    </row>
    <row r="594" spans="1:2">
      <c r="A594" s="7" t="str">
        <f>SUBSTITUTE(PasteHere!B594,"\&amp;quot;","''")</f>
        <v/>
      </c>
      <c r="B594" s="7" t="str">
        <f>SUBSTITUTE(PasteHere!C594,"\&amp;quot;","''")</f>
        <v/>
      </c>
    </row>
    <row r="595" spans="1:2">
      <c r="A595" s="7" t="str">
        <f>SUBSTITUTE(PasteHere!B595,"\&amp;quot;","''")</f>
        <v/>
      </c>
      <c r="B595" s="7" t="str">
        <f>SUBSTITUTE(PasteHere!C595,"\&amp;quot;","''")</f>
        <v/>
      </c>
    </row>
    <row r="596" spans="1:2">
      <c r="A596" s="7" t="str">
        <f>SUBSTITUTE(PasteHere!B596,"\&amp;quot;","''")</f>
        <v/>
      </c>
      <c r="B596" s="7" t="str">
        <f>SUBSTITUTE(PasteHere!C596,"\&amp;quot;","''")</f>
        <v/>
      </c>
    </row>
    <row r="597" spans="1:2">
      <c r="A597" s="7" t="str">
        <f>SUBSTITUTE(PasteHere!B597,"\&amp;quot;","''")</f>
        <v/>
      </c>
      <c r="B597" s="7" t="str">
        <f>SUBSTITUTE(PasteHere!C597,"\&amp;quot;","''")</f>
        <v/>
      </c>
    </row>
    <row r="598" spans="1:2">
      <c r="A598" s="7" t="str">
        <f>SUBSTITUTE(PasteHere!B598,"\&amp;quot;","''")</f>
        <v/>
      </c>
      <c r="B598" s="7" t="str">
        <f>SUBSTITUTE(PasteHere!C598,"\&amp;quot;","''")</f>
        <v/>
      </c>
    </row>
    <row r="599" spans="1:2">
      <c r="A599" s="7" t="str">
        <f>SUBSTITUTE(PasteHere!B599,"\&amp;quot;","''")</f>
        <v/>
      </c>
      <c r="B599" s="7" t="str">
        <f>SUBSTITUTE(PasteHere!C599,"\&amp;quot;","''")</f>
        <v/>
      </c>
    </row>
    <row r="600" spans="1:2">
      <c r="A600" s="7" t="str">
        <f>SUBSTITUTE(PasteHere!B600,"\&amp;quot;","''")</f>
        <v/>
      </c>
      <c r="B600" s="7" t="str">
        <f>SUBSTITUTE(PasteHere!C600,"\&amp;quot;","''")</f>
        <v/>
      </c>
    </row>
    <row r="601" spans="1:2">
      <c r="A601" s="7" t="str">
        <f>SUBSTITUTE(PasteHere!B601,"\&amp;quot;","''")</f>
        <v/>
      </c>
      <c r="B601" s="7" t="str">
        <f>SUBSTITUTE(PasteHere!C601,"\&amp;quot;","''")</f>
        <v/>
      </c>
    </row>
    <row r="602" spans="1:2">
      <c r="A602" s="7" t="str">
        <f>SUBSTITUTE(PasteHere!B602,"\&amp;quot;","''")</f>
        <v/>
      </c>
      <c r="B602" s="7" t="str">
        <f>SUBSTITUTE(PasteHere!C602,"\&amp;quot;","''")</f>
        <v/>
      </c>
    </row>
    <row r="603" spans="1:2">
      <c r="A603" s="7" t="str">
        <f>SUBSTITUTE(PasteHere!B603,"\&amp;quot;","''")</f>
        <v/>
      </c>
      <c r="B603" s="7" t="str">
        <f>SUBSTITUTE(PasteHere!C603,"\&amp;quot;","''")</f>
        <v/>
      </c>
    </row>
    <row r="604" spans="1:2">
      <c r="A604" s="7" t="str">
        <f>SUBSTITUTE(PasteHere!B604,"\&amp;quot;","''")</f>
        <v/>
      </c>
      <c r="B604" s="7" t="str">
        <f>SUBSTITUTE(PasteHere!C604,"\&amp;quot;","''")</f>
        <v/>
      </c>
    </row>
    <row r="605" spans="1:2">
      <c r="A605" s="7" t="str">
        <f>SUBSTITUTE(PasteHere!B605,"\&amp;quot;","''")</f>
        <v/>
      </c>
      <c r="B605" s="7" t="str">
        <f>SUBSTITUTE(PasteHere!C605,"\&amp;quot;","''")</f>
        <v/>
      </c>
    </row>
    <row r="606" spans="1:2">
      <c r="A606" s="7" t="str">
        <f>SUBSTITUTE(PasteHere!B606,"\&amp;quot;","''")</f>
        <v/>
      </c>
      <c r="B606" s="7" t="str">
        <f>SUBSTITUTE(PasteHere!C606,"\&amp;quot;","''")</f>
        <v/>
      </c>
    </row>
    <row r="607" spans="1:2">
      <c r="A607" s="7" t="str">
        <f>SUBSTITUTE(PasteHere!B607,"\&amp;quot;","''")</f>
        <v/>
      </c>
      <c r="B607" s="7" t="str">
        <f>SUBSTITUTE(PasteHere!C607,"\&amp;quot;","''")</f>
        <v/>
      </c>
    </row>
    <row r="608" spans="1:2">
      <c r="A608" s="7" t="str">
        <f>SUBSTITUTE(PasteHere!B608,"\&amp;quot;","''")</f>
        <v/>
      </c>
      <c r="B608" s="7" t="str">
        <f>SUBSTITUTE(PasteHere!C608,"\&amp;quot;","''")</f>
        <v/>
      </c>
    </row>
    <row r="609" spans="1:2">
      <c r="A609" s="7" t="str">
        <f>SUBSTITUTE(PasteHere!B609,"\&amp;quot;","''")</f>
        <v/>
      </c>
      <c r="B609" s="7" t="str">
        <f>SUBSTITUTE(PasteHere!C609,"\&amp;quot;","''")</f>
        <v/>
      </c>
    </row>
    <row r="610" spans="1:2">
      <c r="A610" s="7" t="str">
        <f>SUBSTITUTE(PasteHere!B610,"\&amp;quot;","''")</f>
        <v/>
      </c>
      <c r="B610" s="7" t="str">
        <f>SUBSTITUTE(PasteHere!C610,"\&amp;quot;","''")</f>
        <v/>
      </c>
    </row>
    <row r="611" spans="1:2">
      <c r="A611" s="7" t="str">
        <f>SUBSTITUTE(PasteHere!B611,"\&amp;quot;","''")</f>
        <v/>
      </c>
      <c r="B611" s="7" t="str">
        <f>SUBSTITUTE(PasteHere!C611,"\&amp;quot;","''")</f>
        <v/>
      </c>
    </row>
    <row r="612" spans="1:2">
      <c r="A612" s="7" t="str">
        <f>SUBSTITUTE(PasteHere!B612,"\&amp;quot;","''")</f>
        <v/>
      </c>
      <c r="B612" s="7" t="str">
        <f>SUBSTITUTE(PasteHere!C612,"\&amp;quot;","''")</f>
        <v/>
      </c>
    </row>
    <row r="613" spans="1:2">
      <c r="A613" s="7" t="str">
        <f>SUBSTITUTE(PasteHere!B613,"\&amp;quot;","''")</f>
        <v/>
      </c>
      <c r="B613" s="7" t="str">
        <f>SUBSTITUTE(PasteHere!C613,"\&amp;quot;","''")</f>
        <v/>
      </c>
    </row>
    <row r="614" spans="1:2">
      <c r="A614" s="7" t="str">
        <f>SUBSTITUTE(PasteHere!B614,"\&amp;quot;","''")</f>
        <v/>
      </c>
      <c r="B614" s="7" t="str">
        <f>SUBSTITUTE(PasteHere!C614,"\&amp;quot;","''")</f>
        <v/>
      </c>
    </row>
    <row r="615" spans="1:2">
      <c r="A615" s="7" t="str">
        <f>SUBSTITUTE(PasteHere!B615,"\&amp;quot;","''")</f>
        <v/>
      </c>
      <c r="B615" s="7" t="str">
        <f>SUBSTITUTE(PasteHere!C615,"\&amp;quot;","''")</f>
        <v/>
      </c>
    </row>
    <row r="616" spans="1:2">
      <c r="A616" s="7" t="str">
        <f>SUBSTITUTE(PasteHere!B616,"\&amp;quot;","''")</f>
        <v/>
      </c>
      <c r="B616" s="7" t="str">
        <f>SUBSTITUTE(PasteHere!C616,"\&amp;quot;","''")</f>
        <v/>
      </c>
    </row>
    <row r="617" spans="1:2">
      <c r="A617" s="7" t="str">
        <f>SUBSTITUTE(PasteHere!B617,"\&amp;quot;","''")</f>
        <v/>
      </c>
      <c r="B617" s="7" t="str">
        <f>SUBSTITUTE(PasteHere!C617,"\&amp;quot;","''")</f>
        <v/>
      </c>
    </row>
    <row r="618" spans="1:2">
      <c r="A618" s="7" t="str">
        <f>SUBSTITUTE(PasteHere!B618,"\&amp;quot;","''")</f>
        <v/>
      </c>
      <c r="B618" s="7" t="str">
        <f>SUBSTITUTE(PasteHere!C618,"\&amp;quot;","''")</f>
        <v/>
      </c>
    </row>
    <row r="619" spans="1:2">
      <c r="A619" s="7" t="str">
        <f>SUBSTITUTE(PasteHere!B619,"\&amp;quot;","''")</f>
        <v/>
      </c>
      <c r="B619" s="7" t="str">
        <f>SUBSTITUTE(PasteHere!C619,"\&amp;quot;","''")</f>
        <v/>
      </c>
    </row>
    <row r="620" spans="1:2">
      <c r="A620" s="7" t="str">
        <f>SUBSTITUTE(PasteHere!B620,"\&amp;quot;","''")</f>
        <v/>
      </c>
      <c r="B620" s="7" t="str">
        <f>SUBSTITUTE(PasteHere!C620,"\&amp;quot;","''")</f>
        <v/>
      </c>
    </row>
    <row r="621" spans="1:2">
      <c r="A621" s="7" t="str">
        <f>SUBSTITUTE(PasteHere!B621,"\&amp;quot;","''")</f>
        <v/>
      </c>
      <c r="B621" s="7" t="str">
        <f>SUBSTITUTE(PasteHere!C621,"\&amp;quot;","''")</f>
        <v/>
      </c>
    </row>
    <row r="622" spans="1:2">
      <c r="A622" s="7" t="str">
        <f>SUBSTITUTE(PasteHere!B622,"\&amp;quot;","''")</f>
        <v/>
      </c>
      <c r="B622" s="7" t="str">
        <f>SUBSTITUTE(PasteHere!C622,"\&amp;quot;","''")</f>
        <v/>
      </c>
    </row>
    <row r="623" spans="1:2">
      <c r="A623" s="7" t="str">
        <f>SUBSTITUTE(PasteHere!B623,"\&amp;quot;","''")</f>
        <v/>
      </c>
      <c r="B623" s="7" t="str">
        <f>SUBSTITUTE(PasteHere!C623,"\&amp;quot;","''")</f>
        <v/>
      </c>
    </row>
    <row r="624" spans="1:2">
      <c r="A624" s="7" t="str">
        <f>SUBSTITUTE(PasteHere!B624,"\&amp;quot;","''")</f>
        <v/>
      </c>
      <c r="B624" s="7" t="str">
        <f>SUBSTITUTE(PasteHere!C624,"\&amp;quot;","''")</f>
        <v/>
      </c>
    </row>
    <row r="625" spans="1:2">
      <c r="A625" s="7" t="str">
        <f>SUBSTITUTE(PasteHere!B625,"\&amp;quot;","''")</f>
        <v/>
      </c>
      <c r="B625" s="7" t="str">
        <f>SUBSTITUTE(PasteHere!C625,"\&amp;quot;","''")</f>
        <v/>
      </c>
    </row>
    <row r="626" spans="1:2">
      <c r="A626" s="7" t="str">
        <f>SUBSTITUTE(PasteHere!B626,"\&amp;quot;","''")</f>
        <v/>
      </c>
      <c r="B626" s="7" t="str">
        <f>SUBSTITUTE(PasteHere!C626,"\&amp;quot;","''")</f>
        <v/>
      </c>
    </row>
    <row r="627" spans="1:2">
      <c r="A627" s="7" t="str">
        <f>SUBSTITUTE(PasteHere!B627,"\&amp;quot;","''")</f>
        <v/>
      </c>
      <c r="B627" s="7" t="str">
        <f>SUBSTITUTE(PasteHere!C627,"\&amp;quot;","''")</f>
        <v/>
      </c>
    </row>
    <row r="628" spans="1:2">
      <c r="A628" s="7" t="str">
        <f>SUBSTITUTE(PasteHere!B628,"\&amp;quot;","''")</f>
        <v/>
      </c>
      <c r="B628" s="7" t="str">
        <f>SUBSTITUTE(PasteHere!C628,"\&amp;quot;","''")</f>
        <v/>
      </c>
    </row>
    <row r="629" spans="1:2">
      <c r="A629" s="7" t="str">
        <f>SUBSTITUTE(PasteHere!B629,"\&amp;quot;","''")</f>
        <v/>
      </c>
      <c r="B629" s="7" t="str">
        <f>SUBSTITUTE(PasteHere!C629,"\&amp;quot;","''")</f>
        <v/>
      </c>
    </row>
    <row r="630" spans="1:2">
      <c r="A630" s="7" t="str">
        <f>SUBSTITUTE(PasteHere!B630,"\&amp;quot;","''")</f>
        <v/>
      </c>
      <c r="B630" s="7" t="str">
        <f>SUBSTITUTE(PasteHere!C630,"\&amp;quot;","''")</f>
        <v/>
      </c>
    </row>
    <row r="631" spans="1:2">
      <c r="A631" s="7" t="str">
        <f>SUBSTITUTE(PasteHere!B631,"\&amp;quot;","''")</f>
        <v/>
      </c>
      <c r="B631" s="7" t="str">
        <f>SUBSTITUTE(PasteHere!C631,"\&amp;quot;","''")</f>
        <v/>
      </c>
    </row>
    <row r="632" spans="1:2">
      <c r="A632" s="7" t="str">
        <f>SUBSTITUTE(PasteHere!B632,"\&amp;quot;","''")</f>
        <v/>
      </c>
      <c r="B632" s="7" t="str">
        <f>SUBSTITUTE(PasteHere!C632,"\&amp;quot;","''")</f>
        <v/>
      </c>
    </row>
    <row r="633" spans="1:2">
      <c r="A633" s="7" t="str">
        <f>SUBSTITUTE(PasteHere!B633,"\&amp;quot;","''")</f>
        <v/>
      </c>
      <c r="B633" s="7" t="str">
        <f>SUBSTITUTE(PasteHere!C633,"\&amp;quot;","''")</f>
        <v/>
      </c>
    </row>
    <row r="634" spans="1:2">
      <c r="A634" s="7" t="str">
        <f>SUBSTITUTE(PasteHere!B634,"\&amp;quot;","''")</f>
        <v/>
      </c>
      <c r="B634" s="7" t="str">
        <f>SUBSTITUTE(PasteHere!C634,"\&amp;quot;","''")</f>
        <v/>
      </c>
    </row>
    <row r="635" spans="1:2">
      <c r="A635" s="7" t="str">
        <f>SUBSTITUTE(PasteHere!B635,"\&amp;quot;","''")</f>
        <v/>
      </c>
      <c r="B635" s="7" t="str">
        <f>SUBSTITUTE(PasteHere!C635,"\&amp;quot;","''")</f>
        <v/>
      </c>
    </row>
    <row r="636" spans="1:2">
      <c r="A636" s="7" t="str">
        <f>SUBSTITUTE(PasteHere!B636,"\&amp;quot;","''")</f>
        <v/>
      </c>
      <c r="B636" s="7" t="str">
        <f>SUBSTITUTE(PasteHere!C636,"\&amp;quot;","''")</f>
        <v/>
      </c>
    </row>
    <row r="637" spans="1:2">
      <c r="A637" s="7" t="str">
        <f>SUBSTITUTE(PasteHere!B637,"\&amp;quot;","''")</f>
        <v/>
      </c>
      <c r="B637" s="7" t="str">
        <f>SUBSTITUTE(PasteHere!C637,"\&amp;quot;","''")</f>
        <v/>
      </c>
    </row>
    <row r="638" spans="1:2">
      <c r="A638" s="7" t="str">
        <f>SUBSTITUTE(PasteHere!B638,"\&amp;quot;","''")</f>
        <v/>
      </c>
      <c r="B638" s="7" t="str">
        <f>SUBSTITUTE(PasteHere!C638,"\&amp;quot;","''")</f>
        <v/>
      </c>
    </row>
    <row r="639" spans="1:2">
      <c r="A639" s="7" t="str">
        <f>SUBSTITUTE(PasteHere!B639,"\&amp;quot;","''")</f>
        <v/>
      </c>
      <c r="B639" s="7" t="str">
        <f>SUBSTITUTE(PasteHere!C639,"\&amp;quot;","''")</f>
        <v/>
      </c>
    </row>
    <row r="640" spans="1:2">
      <c r="A640" s="7" t="str">
        <f>SUBSTITUTE(PasteHere!B640,"\&amp;quot;","''")</f>
        <v/>
      </c>
      <c r="B640" s="7" t="str">
        <f>SUBSTITUTE(PasteHere!C640,"\&amp;quot;","''")</f>
        <v/>
      </c>
    </row>
    <row r="641" spans="1:2">
      <c r="A641" s="7" t="str">
        <f>SUBSTITUTE(PasteHere!B641,"\&amp;quot;","''")</f>
        <v/>
      </c>
      <c r="B641" s="7" t="str">
        <f>SUBSTITUTE(PasteHere!C641,"\&amp;quot;","''")</f>
        <v/>
      </c>
    </row>
    <row r="642" spans="1:2">
      <c r="A642" s="7" t="str">
        <f>SUBSTITUTE(PasteHere!B642,"\&amp;quot;","''")</f>
        <v/>
      </c>
      <c r="B642" s="7" t="str">
        <f>SUBSTITUTE(PasteHere!C642,"\&amp;quot;","''")</f>
        <v/>
      </c>
    </row>
    <row r="643" spans="1:2">
      <c r="A643" s="7" t="str">
        <f>SUBSTITUTE(PasteHere!B643,"\&amp;quot;","''")</f>
        <v/>
      </c>
      <c r="B643" s="7" t="str">
        <f>SUBSTITUTE(PasteHere!C643,"\&amp;quot;","''")</f>
        <v/>
      </c>
    </row>
    <row r="644" spans="1:2">
      <c r="A644" s="7" t="str">
        <f>SUBSTITUTE(PasteHere!B644,"\&amp;quot;","''")</f>
        <v/>
      </c>
      <c r="B644" s="7" t="str">
        <f>SUBSTITUTE(PasteHere!C644,"\&amp;quot;","''")</f>
        <v/>
      </c>
    </row>
    <row r="645" spans="1:2">
      <c r="A645" s="7" t="str">
        <f>SUBSTITUTE(PasteHere!B645,"\&amp;quot;","''")</f>
        <v/>
      </c>
      <c r="B645" s="7" t="str">
        <f>SUBSTITUTE(PasteHere!C645,"\&amp;quot;","''")</f>
        <v/>
      </c>
    </row>
    <row r="646" spans="1:2">
      <c r="A646" s="7" t="str">
        <f>SUBSTITUTE(PasteHere!B646,"\&amp;quot;","''")</f>
        <v/>
      </c>
      <c r="B646" s="7" t="str">
        <f>SUBSTITUTE(PasteHere!C646,"\&amp;quot;","''")</f>
        <v/>
      </c>
    </row>
    <row r="647" spans="1:2">
      <c r="A647" s="7" t="str">
        <f>SUBSTITUTE(PasteHere!B647,"\&amp;quot;","''")</f>
        <v/>
      </c>
      <c r="B647" s="7" t="str">
        <f>SUBSTITUTE(PasteHere!C647,"\&amp;quot;","''")</f>
        <v/>
      </c>
    </row>
    <row r="648" spans="1:2">
      <c r="A648" s="7" t="str">
        <f>SUBSTITUTE(PasteHere!B648,"\&amp;quot;","''")</f>
        <v/>
      </c>
      <c r="B648" s="7" t="str">
        <f>SUBSTITUTE(PasteHere!C648,"\&amp;quot;","''")</f>
        <v/>
      </c>
    </row>
    <row r="649" spans="1:2">
      <c r="A649" s="7" t="str">
        <f>SUBSTITUTE(PasteHere!B649,"\&amp;quot;","''")</f>
        <v/>
      </c>
      <c r="B649" s="7" t="str">
        <f>SUBSTITUTE(PasteHere!C649,"\&amp;quot;","''")</f>
        <v/>
      </c>
    </row>
    <row r="650" spans="1:2">
      <c r="A650" s="7" t="str">
        <f>SUBSTITUTE(PasteHere!B650,"\&amp;quot;","''")</f>
        <v/>
      </c>
    </row>
    <row r="651" spans="1:2">
      <c r="A651" s="7" t="str">
        <f>SUBSTITUTE(PasteHere!B651,"\&amp;quot;","''")</f>
        <v/>
      </c>
    </row>
    <row r="652" spans="1:2">
      <c r="A652" s="7" t="str">
        <f>SUBSTITUTE(PasteHere!B652,"\&amp;quot;","''")</f>
        <v/>
      </c>
    </row>
    <row r="653" spans="1:2">
      <c r="A653" s="7" t="str">
        <f>SUBSTITUTE(PasteHere!B653,"\&amp;quot;","''")</f>
        <v/>
      </c>
    </row>
    <row r="654" spans="1:2">
      <c r="A654" s="7" t="str">
        <f>SUBSTITUTE(PasteHere!B654,"\&amp;quot;","''")</f>
        <v/>
      </c>
    </row>
    <row r="655" spans="1:2">
      <c r="A655" s="7" t="str">
        <f>SUBSTITUTE(PasteHere!B655,"\&amp;quot;","''")</f>
        <v/>
      </c>
    </row>
    <row r="656" spans="1:2">
      <c r="A656" s="7" t="str">
        <f>SUBSTITUTE(PasteHere!B656,"\&amp;quot;","''")</f>
        <v/>
      </c>
    </row>
    <row r="657" spans="1:1">
      <c r="A657" s="7" t="str">
        <f>SUBSTITUTE(PasteHere!B657,"\&amp;quot;","''")</f>
        <v/>
      </c>
    </row>
    <row r="658" spans="1:1">
      <c r="A658" s="7" t="str">
        <f>SUBSTITUTE(PasteHere!B658,"\&amp;quot;","''")</f>
        <v/>
      </c>
    </row>
    <row r="659" spans="1:1">
      <c r="A659" s="7" t="str">
        <f>SUBSTITUTE(PasteHere!B659,"\&amp;quot;","''")</f>
        <v/>
      </c>
    </row>
    <row r="660" spans="1:1">
      <c r="A660" s="7" t="str">
        <f>SUBSTITUTE(PasteHere!B660,"\&amp;quot;","''")</f>
        <v/>
      </c>
    </row>
    <row r="661" spans="1:1">
      <c r="A661" s="7" t="str">
        <f>SUBSTITUTE(PasteHere!B661,"\&amp;quot;","''")</f>
        <v/>
      </c>
    </row>
    <row r="662" spans="1:1">
      <c r="A662" s="7" t="str">
        <f>SUBSTITUTE(PasteHere!B662,"\&amp;quot;","''")</f>
        <v/>
      </c>
    </row>
    <row r="663" spans="1:1">
      <c r="A663" s="7" t="str">
        <f>SUBSTITUTE(PasteHere!B663,"\&amp;quot;","''")</f>
        <v/>
      </c>
    </row>
    <row r="664" spans="1:1">
      <c r="A664" s="7" t="str">
        <f>SUBSTITUTE(PasteHere!B664,"\&amp;quot;","''")</f>
        <v/>
      </c>
    </row>
    <row r="665" spans="1:1">
      <c r="A665" s="7" t="str">
        <f>SUBSTITUTE(PasteHere!B665,"\&amp;quot;","''")</f>
        <v/>
      </c>
    </row>
    <row r="666" spans="1:1">
      <c r="A666" s="7" t="str">
        <f>SUBSTITUTE(PasteHere!B666,"\&amp;quot;","''")</f>
        <v/>
      </c>
    </row>
    <row r="667" spans="1:1">
      <c r="A667" s="7" t="str">
        <f>SUBSTITUTE(PasteHere!B667,"\&amp;quot;","''")</f>
        <v/>
      </c>
    </row>
    <row r="668" spans="1:1">
      <c r="A668" s="7" t="str">
        <f>SUBSTITUTE(PasteHere!B668,"\&amp;quot;","''")</f>
        <v/>
      </c>
    </row>
    <row r="669" spans="1:1">
      <c r="A669" s="7" t="str">
        <f>SUBSTITUTE(PasteHere!B669,"\&amp;quot;","''")</f>
        <v/>
      </c>
    </row>
    <row r="670" spans="1:1">
      <c r="A670" s="7" t="str">
        <f>SUBSTITUTE(PasteHere!B670,"\&amp;quot;","''")</f>
        <v/>
      </c>
    </row>
    <row r="671" spans="1:1">
      <c r="A671" s="7" t="str">
        <f>SUBSTITUTE(PasteHere!B671,"\&amp;quot;","''")</f>
        <v/>
      </c>
    </row>
    <row r="672" spans="1:1">
      <c r="A672" s="7" t="str">
        <f>SUBSTITUTE(PasteHere!B672,"\&amp;quot;","''")</f>
        <v/>
      </c>
    </row>
    <row r="673" spans="1:1">
      <c r="A673" s="7" t="str">
        <f>SUBSTITUTE(PasteHere!B673,"\&amp;quot;","''")</f>
        <v/>
      </c>
    </row>
    <row r="674" spans="1:1">
      <c r="A674" s="7" t="str">
        <f>SUBSTITUTE(PasteHere!B674,"\&amp;quot;","''")</f>
        <v/>
      </c>
    </row>
    <row r="675" spans="1:1">
      <c r="A675" s="7" t="str">
        <f>SUBSTITUTE(PasteHere!B675,"\&amp;quot;","''")</f>
        <v/>
      </c>
    </row>
    <row r="676" spans="1:1">
      <c r="A676" s="7" t="str">
        <f>SUBSTITUTE(PasteHere!B676,"\&amp;quot;","''")</f>
        <v/>
      </c>
    </row>
    <row r="677" spans="1:1">
      <c r="A677" s="7" t="str">
        <f>SUBSTITUTE(PasteHere!B677,"\&amp;quot;","''")</f>
        <v/>
      </c>
    </row>
    <row r="678" spans="1:1">
      <c r="A678" s="7" t="str">
        <f>SUBSTITUTE(PasteHere!B678,"\&amp;quot;","''")</f>
        <v/>
      </c>
    </row>
    <row r="679" spans="1:1">
      <c r="A679" s="7" t="str">
        <f>SUBSTITUTE(PasteHere!B679,"\&amp;quot;","''")</f>
        <v/>
      </c>
    </row>
    <row r="680" spans="1:1">
      <c r="A680" s="7" t="str">
        <f>SUBSTITUTE(PasteHere!B680,"\&amp;quot;","''")</f>
        <v/>
      </c>
    </row>
    <row r="681" spans="1:1">
      <c r="A681" s="7" t="str">
        <f>SUBSTITUTE(PasteHere!B681,"\&amp;quot;","''")</f>
        <v/>
      </c>
    </row>
    <row r="682" spans="1:1">
      <c r="A682" s="7" t="str">
        <f>SUBSTITUTE(PasteHere!B682,"\&amp;quot;","''")</f>
        <v/>
      </c>
    </row>
    <row r="683" spans="1:1">
      <c r="A683" s="7" t="str">
        <f>SUBSTITUTE(PasteHere!B683,"\&amp;quot;","''")</f>
        <v/>
      </c>
    </row>
    <row r="684" spans="1:1">
      <c r="A684" s="7" t="str">
        <f>SUBSTITUTE(PasteHere!B684,"\&amp;quot;","''")</f>
        <v/>
      </c>
    </row>
    <row r="685" spans="1:1">
      <c r="A685" s="7" t="str">
        <f>SUBSTITUTE(PasteHere!B685,"\&amp;quot;","''")</f>
        <v/>
      </c>
    </row>
    <row r="686" spans="1:1">
      <c r="A686" s="7" t="str">
        <f>SUBSTITUTE(PasteHere!B686,"\&amp;quot;","''")</f>
        <v/>
      </c>
    </row>
    <row r="687" spans="1:1">
      <c r="A687" s="7" t="str">
        <f>SUBSTITUTE(PasteHere!B687,"\&amp;quot;","''")</f>
        <v/>
      </c>
    </row>
    <row r="688" spans="1:1">
      <c r="A688" s="7" t="str">
        <f>SUBSTITUTE(PasteHere!B688,"\&amp;quot;","''")</f>
        <v/>
      </c>
    </row>
    <row r="689" spans="1:1">
      <c r="A689" s="7" t="str">
        <f>SUBSTITUTE(PasteHere!B689,"\&amp;quot;","''")</f>
        <v/>
      </c>
    </row>
    <row r="690" spans="1:1">
      <c r="A690" s="7" t="str">
        <f>SUBSTITUTE(PasteHere!B690,"\&amp;quot;","''")</f>
        <v/>
      </c>
    </row>
    <row r="691" spans="1:1">
      <c r="A691" s="7" t="str">
        <f>SUBSTITUTE(PasteHere!B691,"\&amp;quot;","''")</f>
        <v/>
      </c>
    </row>
    <row r="692" spans="1:1">
      <c r="A692" s="7" t="str">
        <f>SUBSTITUTE(PasteHere!B692,"\&amp;quot;","''")</f>
        <v/>
      </c>
    </row>
    <row r="693" spans="1:1">
      <c r="A693" s="7" t="str">
        <f>SUBSTITUTE(PasteHere!B693,"\&amp;quot;","''")</f>
        <v/>
      </c>
    </row>
    <row r="694" spans="1:1">
      <c r="A694" s="7" t="str">
        <f>SUBSTITUTE(PasteHere!B694,"\&amp;quot;","''")</f>
        <v/>
      </c>
    </row>
    <row r="695" spans="1:1">
      <c r="A695" s="7" t="str">
        <f>SUBSTITUTE(PasteHere!B695,"\&amp;quot;","''")</f>
        <v/>
      </c>
    </row>
    <row r="696" spans="1:1">
      <c r="A696" s="7" t="str">
        <f>SUBSTITUTE(PasteHere!B696,"\&amp;quot;","''")</f>
        <v/>
      </c>
    </row>
    <row r="697" spans="1:1">
      <c r="A697" s="7" t="str">
        <f>SUBSTITUTE(PasteHere!B697,"\&amp;quot;","''")</f>
        <v/>
      </c>
    </row>
    <row r="698" spans="1:1">
      <c r="A698" s="7" t="str">
        <f>SUBSTITUTE(PasteHere!B698,"\&amp;quot;","''")</f>
        <v/>
      </c>
    </row>
    <row r="699" spans="1:1">
      <c r="A699" s="7" t="str">
        <f>SUBSTITUTE(PasteHere!B699,"\&amp;quot;","''")</f>
        <v/>
      </c>
    </row>
    <row r="700" spans="1:1">
      <c r="A700" s="7" t="str">
        <f>SUBSTITUTE(PasteHere!B700,"\&amp;quot;","''")</f>
        <v/>
      </c>
    </row>
    <row r="701" spans="1:1">
      <c r="A701" s="7" t="str">
        <f>SUBSTITUTE(PasteHere!B701,"\&amp;quot;","''")</f>
        <v/>
      </c>
    </row>
    <row r="702" spans="1:1">
      <c r="A702" s="7" t="str">
        <f>SUBSTITUTE(PasteHere!B702,"\&amp;quot;","''")</f>
        <v/>
      </c>
    </row>
    <row r="703" spans="1:1">
      <c r="A703" s="7" t="str">
        <f>SUBSTITUTE(PasteHere!B703,"\&amp;quot;","''")</f>
        <v/>
      </c>
    </row>
    <row r="704" spans="1:1">
      <c r="A704" s="7" t="str">
        <f>SUBSTITUTE(PasteHere!B704,"\&amp;quot;","''")</f>
        <v/>
      </c>
    </row>
    <row r="705" spans="1:1">
      <c r="A705" s="7" t="str">
        <f>SUBSTITUTE(PasteHere!B705,"\&amp;quot;","''")</f>
        <v/>
      </c>
    </row>
    <row r="706" spans="1:1">
      <c r="A706" s="7" t="str">
        <f>SUBSTITUTE(PasteHere!B706,"\&amp;quot;","''")</f>
        <v/>
      </c>
    </row>
    <row r="707" spans="1:1">
      <c r="A707" s="7" t="str">
        <f>SUBSTITUTE(PasteHere!B707,"\&amp;quot;","''")</f>
        <v/>
      </c>
    </row>
    <row r="708" spans="1:1">
      <c r="A708" s="7" t="str">
        <f>SUBSTITUTE(PasteHere!B708,"\&amp;quot;","''")</f>
        <v/>
      </c>
    </row>
    <row r="709" spans="1:1">
      <c r="A709" s="7" t="str">
        <f>SUBSTITUTE(PasteHere!B709,"\&amp;quot;","''")</f>
        <v/>
      </c>
    </row>
  </sheetData>
  <mergeCells count="9">
    <mergeCell ref="J1:K1"/>
    <mergeCell ref="L1:L36"/>
    <mergeCell ref="M1:N1"/>
    <mergeCell ref="I1:I1048576"/>
    <mergeCell ref="A1:B1"/>
    <mergeCell ref="C1:C1048576"/>
    <mergeCell ref="D1:E1"/>
    <mergeCell ref="F1:F1048576"/>
    <mergeCell ref="G1:H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R31"/>
  <sheetViews>
    <sheetView workbookViewId="0">
      <selection activeCell="A11" sqref="A11:XFD13"/>
    </sheetView>
  </sheetViews>
  <sheetFormatPr defaultRowHeight="15"/>
  <cols>
    <col min="1" max="1" width="7" customWidth="1"/>
    <col min="2" max="2" width="34.85546875" customWidth="1"/>
    <col min="3" max="3" width="49.7109375" customWidth="1"/>
    <col min="4" max="4" width="18.5703125" customWidth="1"/>
    <col min="5" max="5" width="32.7109375" customWidth="1"/>
    <col min="6" max="6" width="34.85546875" customWidth="1"/>
    <col min="9" max="9" width="12.5703125" customWidth="1"/>
    <col min="10" max="10" width="12.140625" customWidth="1"/>
    <col min="11" max="11" width="11.42578125" customWidth="1"/>
    <col min="17" max="17" width="8.140625" customWidth="1"/>
  </cols>
  <sheetData>
    <row r="1" spans="1:18">
      <c r="A1" t="s">
        <v>152</v>
      </c>
      <c r="B1" t="s">
        <v>153</v>
      </c>
      <c r="C1" t="s">
        <v>154</v>
      </c>
      <c r="D1" t="s">
        <v>155</v>
      </c>
      <c r="E1" t="s">
        <v>156</v>
      </c>
      <c r="F1" t="s">
        <v>157</v>
      </c>
      <c r="G1" t="s">
        <v>158</v>
      </c>
      <c r="H1" t="s">
        <v>159</v>
      </c>
      <c r="I1" t="s">
        <v>160</v>
      </c>
      <c r="J1" t="s">
        <v>161</v>
      </c>
      <c r="K1" t="s">
        <v>162</v>
      </c>
      <c r="L1" t="s">
        <v>163</v>
      </c>
      <c r="M1" t="s">
        <v>164</v>
      </c>
      <c r="N1" t="s">
        <v>165</v>
      </c>
      <c r="O1" t="s">
        <v>166</v>
      </c>
      <c r="P1" t="s">
        <v>167</v>
      </c>
      <c r="Q1" t="s">
        <v>168</v>
      </c>
      <c r="R1" t="s">
        <v>169</v>
      </c>
    </row>
    <row r="2" spans="1:18">
      <c r="A2">
        <v>964</v>
      </c>
      <c r="B2" t="s">
        <v>170</v>
      </c>
      <c r="C2" t="s">
        <v>171</v>
      </c>
      <c r="D2" t="s">
        <v>29</v>
      </c>
      <c r="F2" t="s">
        <v>128</v>
      </c>
      <c r="G2" s="25">
        <v>0.6875</v>
      </c>
      <c r="H2" s="25">
        <v>0.71875</v>
      </c>
      <c r="I2" s="70">
        <v>41845</v>
      </c>
      <c r="J2" s="70">
        <v>41845</v>
      </c>
      <c r="K2" s="25">
        <v>2.8703703703703703E-2</v>
      </c>
      <c r="M2" t="s">
        <v>129</v>
      </c>
      <c r="N2" t="s">
        <v>130</v>
      </c>
      <c r="O2">
        <v>0</v>
      </c>
      <c r="P2">
        <v>0</v>
      </c>
      <c r="Q2">
        <v>1</v>
      </c>
      <c r="R2" t="b">
        <v>1</v>
      </c>
    </row>
    <row r="3" spans="1:18">
      <c r="A3">
        <v>964</v>
      </c>
      <c r="B3" t="s">
        <v>170</v>
      </c>
      <c r="C3" t="s">
        <v>171</v>
      </c>
      <c r="D3" t="s">
        <v>29</v>
      </c>
      <c r="F3" t="s">
        <v>128</v>
      </c>
      <c r="G3" s="25">
        <v>0.6875</v>
      </c>
      <c r="H3" s="25">
        <v>0.71875</v>
      </c>
      <c r="I3" s="70">
        <v>41845</v>
      </c>
      <c r="J3" s="70">
        <v>41845</v>
      </c>
      <c r="K3" s="25">
        <v>2.8703703703703703E-2</v>
      </c>
      <c r="M3" t="s">
        <v>129</v>
      </c>
      <c r="N3" t="s">
        <v>130</v>
      </c>
      <c r="O3">
        <v>0</v>
      </c>
      <c r="P3">
        <v>0</v>
      </c>
      <c r="Q3">
        <v>1</v>
      </c>
      <c r="R3" t="b">
        <v>0</v>
      </c>
    </row>
    <row r="4" spans="1:18">
      <c r="A4">
        <v>643</v>
      </c>
      <c r="B4" t="s">
        <v>172</v>
      </c>
      <c r="C4" s="97" t="s">
        <v>173</v>
      </c>
      <c r="D4" t="s">
        <v>30</v>
      </c>
      <c r="F4" t="s">
        <v>79</v>
      </c>
      <c r="G4" s="25">
        <v>0.79166666666666663</v>
      </c>
      <c r="H4" s="25">
        <v>0.88541666666666663</v>
      </c>
      <c r="I4" s="70">
        <v>41845</v>
      </c>
      <c r="J4" s="70">
        <v>41845</v>
      </c>
      <c r="K4" s="25">
        <v>9.375E-2</v>
      </c>
      <c r="M4" t="s">
        <v>142</v>
      </c>
      <c r="N4" t="s">
        <v>143</v>
      </c>
      <c r="O4">
        <v>0</v>
      </c>
      <c r="P4">
        <v>0</v>
      </c>
      <c r="Q4">
        <v>1</v>
      </c>
      <c r="R4" t="b">
        <v>1</v>
      </c>
    </row>
    <row r="5" spans="1:18">
      <c r="A5">
        <v>643</v>
      </c>
      <c r="B5" t="s">
        <v>172</v>
      </c>
      <c r="C5" s="97" t="s">
        <v>173</v>
      </c>
      <c r="D5" t="s">
        <v>30</v>
      </c>
      <c r="F5" t="s">
        <v>79</v>
      </c>
      <c r="G5" s="25">
        <v>0.79166666666666663</v>
      </c>
      <c r="H5" s="25">
        <v>0.88541666666666663</v>
      </c>
      <c r="I5" s="70">
        <v>41845</v>
      </c>
      <c r="J5" s="70">
        <v>41845</v>
      </c>
      <c r="K5" s="25">
        <v>9.375E-2</v>
      </c>
      <c r="M5" t="s">
        <v>142</v>
      </c>
      <c r="N5" t="s">
        <v>143</v>
      </c>
      <c r="O5">
        <v>0</v>
      </c>
      <c r="P5">
        <v>0</v>
      </c>
      <c r="Q5">
        <v>1</v>
      </c>
      <c r="R5" t="b">
        <v>0</v>
      </c>
    </row>
    <row r="6" spans="1:18">
      <c r="A6">
        <v>535</v>
      </c>
      <c r="B6" t="s">
        <v>174</v>
      </c>
      <c r="C6" s="97" t="s">
        <v>175</v>
      </c>
      <c r="D6" t="s">
        <v>29</v>
      </c>
      <c r="F6" t="s">
        <v>135</v>
      </c>
      <c r="G6" s="25">
        <v>0.73958333333333337</v>
      </c>
      <c r="H6" s="25">
        <v>0.75</v>
      </c>
      <c r="I6" s="70">
        <v>41845</v>
      </c>
      <c r="J6" s="70">
        <v>41845</v>
      </c>
      <c r="K6" s="25">
        <v>9.7222222222222224E-3</v>
      </c>
      <c r="L6" t="s">
        <v>137</v>
      </c>
      <c r="M6" t="s">
        <v>138</v>
      </c>
      <c r="N6" t="s">
        <v>139</v>
      </c>
      <c r="O6">
        <v>0</v>
      </c>
      <c r="P6">
        <v>0</v>
      </c>
      <c r="Q6">
        <v>1</v>
      </c>
      <c r="R6" t="b">
        <v>0</v>
      </c>
    </row>
    <row r="7" spans="1:18">
      <c r="A7">
        <v>643</v>
      </c>
      <c r="B7" t="s">
        <v>176</v>
      </c>
      <c r="C7" s="97" t="s">
        <v>177</v>
      </c>
      <c r="D7" t="s">
        <v>28</v>
      </c>
      <c r="F7" t="s">
        <v>79</v>
      </c>
      <c r="G7" s="25">
        <v>0.79166666666666663</v>
      </c>
      <c r="H7" s="25">
        <v>0.88541666666666663</v>
      </c>
      <c r="I7" s="70">
        <v>41845</v>
      </c>
      <c r="J7" s="70">
        <v>41845</v>
      </c>
      <c r="K7" s="25">
        <v>9.375E-2</v>
      </c>
      <c r="M7" t="s">
        <v>142</v>
      </c>
      <c r="N7" t="s">
        <v>143</v>
      </c>
      <c r="O7">
        <v>0</v>
      </c>
      <c r="P7">
        <v>0</v>
      </c>
      <c r="Q7">
        <v>1</v>
      </c>
      <c r="R7" t="b">
        <v>0</v>
      </c>
    </row>
    <row r="8" spans="1:18">
      <c r="A8">
        <v>964</v>
      </c>
      <c r="B8" t="s">
        <v>178</v>
      </c>
      <c r="C8" s="97" t="s">
        <v>179</v>
      </c>
      <c r="D8" t="s">
        <v>29</v>
      </c>
      <c r="F8" t="s">
        <v>128</v>
      </c>
      <c r="G8" s="25">
        <v>0.6875</v>
      </c>
      <c r="H8" s="25">
        <v>0.71875</v>
      </c>
      <c r="I8" s="70">
        <v>41845</v>
      </c>
      <c r="J8" s="70">
        <v>41845</v>
      </c>
      <c r="K8" s="25">
        <v>2.8703703703703703E-2</v>
      </c>
      <c r="M8" t="s">
        <v>129</v>
      </c>
      <c r="N8" t="s">
        <v>130</v>
      </c>
      <c r="O8">
        <v>0</v>
      </c>
      <c r="P8">
        <v>0</v>
      </c>
      <c r="Q8">
        <v>1</v>
      </c>
      <c r="R8" t="b">
        <v>1</v>
      </c>
    </row>
    <row r="9" spans="1:18">
      <c r="A9">
        <v>964</v>
      </c>
      <c r="B9" t="s">
        <v>178</v>
      </c>
      <c r="C9" s="97" t="s">
        <v>179</v>
      </c>
      <c r="D9" t="s">
        <v>30</v>
      </c>
      <c r="F9" t="s">
        <v>128</v>
      </c>
      <c r="G9" s="25">
        <v>0.6875</v>
      </c>
      <c r="H9" s="25">
        <v>0.71875</v>
      </c>
      <c r="I9" s="70">
        <v>41845</v>
      </c>
      <c r="J9" s="70">
        <v>41845</v>
      </c>
      <c r="K9" s="25">
        <v>2.8703703703703703E-2</v>
      </c>
      <c r="M9" t="s">
        <v>129</v>
      </c>
      <c r="N9" t="s">
        <v>130</v>
      </c>
      <c r="O9">
        <v>0</v>
      </c>
      <c r="P9">
        <v>0</v>
      </c>
      <c r="Q9">
        <v>1</v>
      </c>
      <c r="R9" t="b">
        <v>1</v>
      </c>
    </row>
    <row r="10" spans="1:18">
      <c r="A10">
        <v>643</v>
      </c>
      <c r="B10" t="s">
        <v>180</v>
      </c>
      <c r="C10" s="97" t="s">
        <v>181</v>
      </c>
      <c r="D10" t="s">
        <v>31</v>
      </c>
      <c r="F10" t="s">
        <v>79</v>
      </c>
      <c r="G10" s="25">
        <v>0.79166666666666663</v>
      </c>
      <c r="H10" s="25">
        <v>0.88541666666666663</v>
      </c>
      <c r="I10" s="70">
        <v>41845</v>
      </c>
      <c r="J10" s="70">
        <v>41845</v>
      </c>
      <c r="K10" s="25">
        <v>9.375E-2</v>
      </c>
      <c r="M10" t="s">
        <v>142</v>
      </c>
      <c r="N10" t="s">
        <v>143</v>
      </c>
      <c r="O10">
        <v>0</v>
      </c>
      <c r="P10">
        <v>0</v>
      </c>
      <c r="Q10">
        <v>1</v>
      </c>
      <c r="R10" t="b">
        <v>1</v>
      </c>
    </row>
    <row r="11" spans="1:18">
      <c r="C11" s="97"/>
      <c r="G11" s="25"/>
      <c r="H11" s="25"/>
      <c r="I11" s="70"/>
      <c r="J11" s="70"/>
      <c r="K11" s="25"/>
    </row>
    <row r="12" spans="1:18">
      <c r="G12" s="25"/>
      <c r="H12" s="25"/>
      <c r="I12" s="70"/>
      <c r="J12" s="70"/>
      <c r="K12" s="25"/>
    </row>
    <row r="13" spans="1:18">
      <c r="G13" s="25"/>
      <c r="H13" s="25"/>
      <c r="I13" s="70"/>
      <c r="J13" s="70"/>
      <c r="K13" s="25"/>
    </row>
    <row r="14" spans="1:18">
      <c r="G14" s="25"/>
      <c r="H14" s="25"/>
      <c r="I14" s="70"/>
      <c r="J14" s="70"/>
      <c r="K14" s="25"/>
    </row>
    <row r="15" spans="1:18">
      <c r="G15" s="25"/>
      <c r="H15" s="25"/>
      <c r="I15" s="70"/>
      <c r="J15" s="70"/>
      <c r="K15" s="25"/>
    </row>
    <row r="16" spans="1:18">
      <c r="G16" s="25"/>
      <c r="H16" s="25"/>
      <c r="I16" s="70"/>
      <c r="J16" s="70"/>
      <c r="K16" s="25"/>
    </row>
    <row r="17" spans="5:15" s="94" customFormat="1">
      <c r="E17" s="95"/>
      <c r="F17" s="95"/>
    </row>
    <row r="18" spans="5:15" s="94" customFormat="1">
      <c r="E18" s="95"/>
      <c r="F18" s="95"/>
    </row>
    <row r="19" spans="5:15" s="94" customFormat="1">
      <c r="E19" s="95"/>
      <c r="F19" s="95"/>
    </row>
    <row r="20" spans="5:15" s="94" customFormat="1">
      <c r="E20" s="95"/>
      <c r="F20" s="95"/>
    </row>
    <row r="21" spans="5:15" s="94" customFormat="1">
      <c r="E21" s="95"/>
      <c r="F21" s="95"/>
    </row>
    <row r="22" spans="5:15" s="94" customFormat="1">
      <c r="E22" s="95"/>
      <c r="F22" s="95"/>
      <c r="O22" s="96"/>
    </row>
    <row r="23" spans="5:15" s="94" customFormat="1">
      <c r="E23" s="95"/>
      <c r="F23" s="95"/>
    </row>
    <row r="24" spans="5:15" s="94" customFormat="1">
      <c r="E24" s="95"/>
      <c r="F24" s="95"/>
    </row>
    <row r="25" spans="5:15" s="94" customFormat="1">
      <c r="E25" s="95"/>
      <c r="F25" s="95"/>
    </row>
    <row r="26" spans="5:15" s="94" customFormat="1">
      <c r="E26" s="95"/>
      <c r="F26" s="95"/>
    </row>
    <row r="27" spans="5:15" s="94" customFormat="1">
      <c r="E27" s="95"/>
      <c r="F27" s="95"/>
    </row>
    <row r="28" spans="5:15" s="94" customFormat="1">
      <c r="E28" s="95"/>
      <c r="F28" s="95"/>
      <c r="O28" s="96"/>
    </row>
    <row r="29" spans="5:15" s="94" customFormat="1">
      <c r="E29" s="95"/>
      <c r="F29" s="95"/>
    </row>
    <row r="30" spans="5:15" s="94" customFormat="1">
      <c r="E30" s="95"/>
      <c r="F30" s="95"/>
    </row>
    <row r="31" spans="5:15" s="94" customFormat="1">
      <c r="E31" s="95"/>
      <c r="F31" s="9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R39"/>
  <sheetViews>
    <sheetView view="pageLayout" workbookViewId="0">
      <selection activeCell="B1" sqref="B1"/>
    </sheetView>
  </sheetViews>
  <sheetFormatPr defaultRowHeight="14.25"/>
  <cols>
    <col min="1" max="1" width="5.5703125" style="53" customWidth="1"/>
    <col min="2" max="2" width="5.42578125" style="53" customWidth="1"/>
    <col min="3" max="5" width="5" style="53" customWidth="1"/>
    <col min="6" max="6" width="5.42578125" style="53" customWidth="1"/>
    <col min="7" max="7" width="3.140625" style="53" customWidth="1"/>
    <col min="8" max="8" width="5.42578125" style="53" customWidth="1"/>
    <col min="9" max="11" width="5" style="53" customWidth="1"/>
    <col min="12" max="12" width="5.42578125" style="53" customWidth="1"/>
    <col min="13" max="13" width="3.140625" style="53" customWidth="1"/>
    <col min="14" max="14" width="5.42578125" style="53" customWidth="1"/>
    <col min="15" max="17" width="5" style="53" customWidth="1"/>
    <col min="18" max="18" width="5.42578125" style="53" customWidth="1"/>
    <col min="19" max="19" width="3.140625" style="53" customWidth="1"/>
    <col min="20" max="16384" width="9.140625" style="53"/>
  </cols>
  <sheetData>
    <row r="1" spans="1:18">
      <c r="A1" s="53" t="s">
        <v>44</v>
      </c>
      <c r="B1" s="50" t="str">
        <f>IF(B2="","",Insideinfo!H2)</f>
        <v>CLEAN</v>
      </c>
      <c r="C1" s="51"/>
      <c r="D1" s="52"/>
      <c r="E1" s="178" t="str">
        <f ca="1">Insideinfo!I2</f>
        <v>04/07/2015</v>
      </c>
      <c r="F1" s="194"/>
      <c r="G1" s="160"/>
      <c r="H1" s="50" t="str">
        <f>IF(H2="","",Insideinfo!H3)</f>
        <v>AD</v>
      </c>
      <c r="I1" s="51"/>
      <c r="J1" s="52"/>
      <c r="K1" s="178" t="str">
        <f ca="1">Insideinfo!I3</f>
        <v>04/07/2015</v>
      </c>
      <c r="L1" s="194"/>
      <c r="M1" s="160"/>
      <c r="N1" s="50" t="str">
        <f>IF(N2="","",Insideinfo!H4)</f>
        <v>CLEAN</v>
      </c>
      <c r="O1" s="51"/>
      <c r="P1" s="52"/>
      <c r="Q1" s="178" t="str">
        <f ca="1">Insideinfo!I4</f>
        <v>04/08/2015</v>
      </c>
      <c r="R1" s="194"/>
    </row>
    <row r="2" spans="1:18" ht="15.75">
      <c r="A2" s="53">
        <f>'Inside (2)'!T2</f>
        <v>0</v>
      </c>
      <c r="B2" s="195" t="str">
        <f>Insideinfo!F2</f>
        <v>Contractor and Subcontractor Payments</v>
      </c>
      <c r="C2" s="196"/>
      <c r="D2" s="196"/>
      <c r="E2" s="196"/>
      <c r="F2" s="197"/>
      <c r="G2" s="160"/>
      <c r="H2" s="180" t="str">
        <f>Insideinfo!F3</f>
        <v>Contractor and Subcontractor Payments</v>
      </c>
      <c r="I2" s="204"/>
      <c r="J2" s="204"/>
      <c r="K2" s="204"/>
      <c r="L2" s="205"/>
      <c r="M2" s="160"/>
      <c r="N2" s="180" t="str">
        <f>Insideinfo!F4</f>
        <v>Medical Marijuana</v>
      </c>
      <c r="O2" s="204"/>
      <c r="P2" s="204"/>
      <c r="Q2" s="204"/>
      <c r="R2" s="205"/>
    </row>
    <row r="3" spans="1:18">
      <c r="B3" s="198" t="str">
        <f>Insideinfo!G2</f>
        <v>PA House Commerce committee hearing</v>
      </c>
      <c r="C3" s="199"/>
      <c r="D3" s="199"/>
      <c r="E3" s="199"/>
      <c r="F3" s="200"/>
      <c r="G3" s="160"/>
      <c r="H3" s="201" t="str">
        <f>Insideinfo!G3</f>
        <v>PA House Commerce committee hearing</v>
      </c>
      <c r="I3" s="202"/>
      <c r="J3" s="202"/>
      <c r="K3" s="202"/>
      <c r="L3" s="203"/>
      <c r="M3" s="160"/>
      <c r="N3" s="191" t="str">
        <f>Insideinfo!G4</f>
        <v>PA House Health and Judiciary committees</v>
      </c>
      <c r="O3" s="192"/>
      <c r="P3" s="192"/>
      <c r="Q3" s="192"/>
      <c r="R3" s="193"/>
    </row>
    <row r="4" spans="1:18">
      <c r="B4" s="54" t="str">
        <f>IF(B2="","","of")</f>
        <v>of</v>
      </c>
      <c r="C4" s="175" t="str">
        <f>IF(B2="","","Deck:")</f>
        <v>Deck:</v>
      </c>
      <c r="D4" s="175"/>
      <c r="E4" s="55" t="str">
        <f>IF(B2="","","by")</f>
        <v>by</v>
      </c>
      <c r="F4" s="56"/>
      <c r="G4" s="160"/>
      <c r="H4" s="54" t="str">
        <f>IF(H2="","","of")</f>
        <v>of</v>
      </c>
      <c r="I4" s="175" t="str">
        <f>IF(H2="","","Deck:")</f>
        <v>Deck:</v>
      </c>
      <c r="J4" s="175"/>
      <c r="K4" s="55" t="str">
        <f>IF(H2="","","by")</f>
        <v>by</v>
      </c>
      <c r="L4" s="56"/>
      <c r="M4" s="160"/>
      <c r="N4" s="54" t="str">
        <f>IF(N2="","","of")</f>
        <v>of</v>
      </c>
      <c r="O4" s="175" t="str">
        <f>IF(N2="","","Deck:")</f>
        <v>Deck:</v>
      </c>
      <c r="P4" s="175"/>
      <c r="Q4" s="55" t="str">
        <f>IF(N2="","","by")</f>
        <v>by</v>
      </c>
      <c r="R4" s="56"/>
    </row>
    <row r="5" spans="1:18">
      <c r="B5" s="168"/>
      <c r="C5" s="168"/>
      <c r="D5" s="168"/>
      <c r="E5" s="168"/>
      <c r="F5" s="168"/>
      <c r="G5" s="160"/>
      <c r="H5" s="168"/>
      <c r="I5" s="168"/>
      <c r="J5" s="168"/>
      <c r="K5" s="168"/>
      <c r="L5" s="168"/>
      <c r="M5" s="160"/>
      <c r="N5" s="168"/>
      <c r="O5" s="168"/>
      <c r="P5" s="168"/>
      <c r="Q5" s="168"/>
      <c r="R5" s="168"/>
    </row>
    <row r="6" spans="1:18">
      <c r="B6" s="50" t="str">
        <f>IF(B7="","",Insideinfo!H5)</f>
        <v>AD</v>
      </c>
      <c r="C6" s="51"/>
      <c r="D6" s="52"/>
      <c r="E6" s="178" t="str">
        <f ca="1">Insideinfo!I5</f>
        <v>04/08/2015</v>
      </c>
      <c r="F6" s="194"/>
      <c r="G6" s="160"/>
      <c r="H6" s="50" t="str">
        <f>IF(H7="","",Insideinfo!H6)</f>
        <v>AD</v>
      </c>
      <c r="I6" s="51"/>
      <c r="J6" s="52"/>
      <c r="K6" s="178" t="str">
        <f ca="1">Insideinfo!I6</f>
        <v>04/07/2015</v>
      </c>
      <c r="L6" s="194"/>
      <c r="M6" s="160"/>
      <c r="N6" s="50" t="str">
        <f>IF(N7="","",Insideinfo!H7)</f>
        <v>AD</v>
      </c>
      <c r="O6" s="51"/>
      <c r="P6" s="52"/>
      <c r="Q6" s="178" t="str">
        <f ca="1">Insideinfo!I7</f>
        <v>04/06/2015</v>
      </c>
      <c r="R6" s="194"/>
    </row>
    <row r="7" spans="1:18" ht="15">
      <c r="B7" s="195" t="str">
        <f>Insideinfo!F5</f>
        <v>Medical Marijuana</v>
      </c>
      <c r="C7" s="196"/>
      <c r="D7" s="196"/>
      <c r="E7" s="196"/>
      <c r="F7" s="197"/>
      <c r="G7" s="160"/>
      <c r="H7" s="195" t="str">
        <f>Insideinfo!F6</f>
        <v>League of Women Voters of PA-Citizen Education Fun</v>
      </c>
      <c r="I7" s="196"/>
      <c r="J7" s="196"/>
      <c r="K7" s="196"/>
      <c r="L7" s="197"/>
      <c r="M7" s="160"/>
      <c r="N7" s="195" t="str">
        <f>Insideinfo!F7</f>
        <v>Climate Impact on PA</v>
      </c>
      <c r="O7" s="196"/>
      <c r="P7" s="196"/>
      <c r="Q7" s="196"/>
      <c r="R7" s="197"/>
    </row>
    <row r="8" spans="1:18">
      <c r="B8" s="191" t="str">
        <f>Insideinfo!G5</f>
        <v>PA House Health and Judiciary committees</v>
      </c>
      <c r="C8" s="192"/>
      <c r="D8" s="192"/>
      <c r="E8" s="192"/>
      <c r="F8" s="193"/>
      <c r="G8" s="160"/>
      <c r="H8" s="191" t="str">
        <f>Insideinfo!G6</f>
        <v>League of Women Voters of PA-Citizen Edu</v>
      </c>
      <c r="I8" s="192"/>
      <c r="J8" s="192"/>
      <c r="K8" s="192"/>
      <c r="L8" s="193"/>
      <c r="M8" s="160"/>
      <c r="N8" s="191" t="str">
        <f>Insideinfo!G7</f>
        <v>Widener University School of Law forum w</v>
      </c>
      <c r="O8" s="192"/>
      <c r="P8" s="192"/>
      <c r="Q8" s="192"/>
      <c r="R8" s="193"/>
    </row>
    <row r="9" spans="1:18">
      <c r="B9" s="54" t="str">
        <f>IF(B7="","","of")</f>
        <v>of</v>
      </c>
      <c r="C9" s="175" t="str">
        <f>IF(B7="","","Deck:")</f>
        <v>Deck:</v>
      </c>
      <c r="D9" s="175"/>
      <c r="E9" s="55" t="str">
        <f>IF(B7="","","by")</f>
        <v>by</v>
      </c>
      <c r="F9" s="56"/>
      <c r="G9" s="160"/>
      <c r="H9" s="54" t="str">
        <f>IF(H7="","","of")</f>
        <v>of</v>
      </c>
      <c r="I9" s="175" t="str">
        <f>IF(H7="","","Deck:")</f>
        <v>Deck:</v>
      </c>
      <c r="J9" s="175"/>
      <c r="K9" s="55" t="str">
        <f>IF(H7="","","by")</f>
        <v>by</v>
      </c>
      <c r="L9" s="56"/>
      <c r="M9" s="160"/>
      <c r="N9" s="54" t="str">
        <f>IF(N7="","","of")</f>
        <v>of</v>
      </c>
      <c r="O9" s="175" t="str">
        <f>IF(N7="","","Deck:")</f>
        <v>Deck:</v>
      </c>
      <c r="P9" s="175"/>
      <c r="Q9" s="55" t="str">
        <f>IF(N7="","","by")</f>
        <v>by</v>
      </c>
      <c r="R9" s="56"/>
    </row>
    <row r="10" spans="1:18">
      <c r="B10" s="168"/>
      <c r="C10" s="168"/>
      <c r="D10" s="168"/>
      <c r="E10" s="168"/>
      <c r="F10" s="168"/>
      <c r="G10" s="160"/>
      <c r="H10" s="168"/>
      <c r="I10" s="168"/>
      <c r="J10" s="168"/>
      <c r="K10" s="168"/>
      <c r="L10" s="168"/>
      <c r="M10" s="160"/>
      <c r="N10" s="168"/>
      <c r="O10" s="168"/>
      <c r="P10" s="168"/>
      <c r="Q10" s="168"/>
      <c r="R10" s="168"/>
    </row>
    <row r="11" spans="1:18">
      <c r="B11" s="57" t="str">
        <f>IF(B12="","",Insideinfo!H8)</f>
        <v>CLEAN</v>
      </c>
      <c r="C11" s="58"/>
      <c r="D11" s="52"/>
      <c r="E11" s="176" t="str">
        <f ca="1">Insideinfo!I7</f>
        <v>04/06/2015</v>
      </c>
      <c r="F11" s="177"/>
      <c r="G11" s="160"/>
      <c r="H11" s="59" t="str">
        <f>IF(H12="","",Insideinfo!H9)</f>
        <v>CLEAN</v>
      </c>
      <c r="I11" s="60"/>
      <c r="J11" s="61"/>
      <c r="K11" s="188" t="str">
        <f ca="1">Insideinfo!I9</f>
        <v>04/08/2015</v>
      </c>
      <c r="L11" s="189"/>
      <c r="M11" s="160"/>
      <c r="N11" s="59" t="str">
        <f>IF(N12="","",Insideinfo!H10)</f>
        <v>CLEAN</v>
      </c>
      <c r="O11" s="62"/>
      <c r="P11" s="61"/>
      <c r="Q11" s="188" t="str">
        <f ca="1">Insideinfo!I10</f>
        <v>04/09/2015</v>
      </c>
      <c r="R11" s="189"/>
    </row>
    <row r="12" spans="1:18" ht="15.75">
      <c r="B12" s="180" t="str">
        <f>Insideinfo!F8</f>
        <v>PA Supreme Court</v>
      </c>
      <c r="C12" s="181"/>
      <c r="D12" s="181"/>
      <c r="E12" s="181"/>
      <c r="F12" s="182"/>
      <c r="G12" s="160"/>
      <c r="H12" s="183" t="str">
        <f>Insideinfo!F9</f>
        <v>PA Supreme Court</v>
      </c>
      <c r="I12" s="151"/>
      <c r="J12" s="151"/>
      <c r="K12" s="151"/>
      <c r="L12" s="184"/>
      <c r="M12" s="160"/>
      <c r="N12" s="183" t="str">
        <f>Insideinfo!F10</f>
        <v>PA Public Utility Commission Meeting</v>
      </c>
      <c r="O12" s="151"/>
      <c r="P12" s="151"/>
      <c r="Q12" s="151"/>
      <c r="R12" s="184"/>
    </row>
    <row r="13" spans="1:18">
      <c r="B13" s="191" t="str">
        <f>Insideinfo!G8</f>
        <v>Pittsburgh</v>
      </c>
      <c r="C13" s="192"/>
      <c r="D13" s="192"/>
      <c r="E13" s="192"/>
      <c r="F13" s="193"/>
      <c r="G13" s="160"/>
      <c r="H13" s="172" t="str">
        <f>Insideinfo!G9</f>
        <v>Pittsburgh</v>
      </c>
      <c r="I13" s="173"/>
      <c r="J13" s="173"/>
      <c r="K13" s="173"/>
      <c r="L13" s="174"/>
      <c r="M13" s="160"/>
      <c r="N13" s="172" t="str">
        <f>Insideinfo!G10</f>
        <v>Harrisburg</v>
      </c>
      <c r="O13" s="173"/>
      <c r="P13" s="173"/>
      <c r="Q13" s="173"/>
      <c r="R13" s="174"/>
    </row>
    <row r="14" spans="1:18">
      <c r="B14" s="63" t="str">
        <f>IF(B12="","","of")</f>
        <v>of</v>
      </c>
      <c r="C14" s="175" t="str">
        <f>IF(B12="","","Deck:")</f>
        <v>Deck:</v>
      </c>
      <c r="D14" s="175"/>
      <c r="E14" s="55" t="str">
        <f>IF(B12="","","by")</f>
        <v>by</v>
      </c>
      <c r="F14" s="56"/>
      <c r="G14" s="160"/>
      <c r="H14" s="64" t="str">
        <f>IF(H12="","","of")</f>
        <v>of</v>
      </c>
      <c r="I14" s="190" t="str">
        <f>IF(H12="","","Deck:")</f>
        <v>Deck:</v>
      </c>
      <c r="J14" s="190"/>
      <c r="K14" s="65" t="str">
        <f>IF(H12="","","by")</f>
        <v>by</v>
      </c>
      <c r="L14" s="66"/>
      <c r="M14" s="160"/>
      <c r="N14" s="64" t="str">
        <f>IF(N12="","","of")</f>
        <v>of</v>
      </c>
      <c r="O14" s="190" t="str">
        <f>IF(N12="","","Deck:")</f>
        <v>Deck:</v>
      </c>
      <c r="P14" s="190"/>
      <c r="Q14" s="65" t="str">
        <f>IF(N12="","","by")</f>
        <v>by</v>
      </c>
      <c r="R14" s="66"/>
    </row>
    <row r="15" spans="1:18">
      <c r="G15" s="160"/>
      <c r="M15" s="160"/>
    </row>
    <row r="16" spans="1:18">
      <c r="B16" s="57" t="str">
        <f>IF(H17="","",Insideinfo!H11)</f>
        <v/>
      </c>
      <c r="C16" s="58"/>
      <c r="D16" s="52"/>
      <c r="E16" s="176" t="str">
        <f>Insideinfo!I11</f>
        <v/>
      </c>
      <c r="F16" s="177"/>
      <c r="G16" s="160"/>
      <c r="H16" s="59" t="str">
        <f>IF(H17="","",Insideinfo!H12)</f>
        <v/>
      </c>
      <c r="I16" s="60"/>
      <c r="J16" s="61"/>
      <c r="K16" s="188" t="str">
        <f>Insideinfo!I12</f>
        <v/>
      </c>
      <c r="L16" s="189"/>
      <c r="M16" s="160"/>
      <c r="N16" s="59" t="str">
        <f>IF(N17="","",Insideinfo!H13)</f>
        <v/>
      </c>
      <c r="O16" s="62"/>
      <c r="P16" s="61"/>
      <c r="Q16" s="178" t="str">
        <f>Insideinfo!I13</f>
        <v/>
      </c>
      <c r="R16" s="179"/>
    </row>
    <row r="17" spans="2:18" ht="15.75">
      <c r="B17" s="180" t="str">
        <f>Insideinfo!F11</f>
        <v/>
      </c>
      <c r="C17" s="181"/>
      <c r="D17" s="181"/>
      <c r="E17" s="181"/>
      <c r="F17" s="182"/>
      <c r="G17" s="160"/>
      <c r="H17" s="183" t="str">
        <f>Insideinfo!F12</f>
        <v/>
      </c>
      <c r="I17" s="151"/>
      <c r="J17" s="151"/>
      <c r="K17" s="151"/>
      <c r="L17" s="184"/>
      <c r="M17" s="160"/>
      <c r="N17" s="183" t="str">
        <f>Insideinfo!F13</f>
        <v/>
      </c>
      <c r="O17" s="151"/>
      <c r="P17" s="151"/>
      <c r="Q17" s="151"/>
      <c r="R17" s="184"/>
    </row>
    <row r="18" spans="2:18" ht="15.75">
      <c r="B18" s="169" t="str">
        <f>Insideinfo!G11</f>
        <v/>
      </c>
      <c r="C18" s="170"/>
      <c r="D18" s="170"/>
      <c r="E18" s="170"/>
      <c r="F18" s="171"/>
      <c r="G18" s="160"/>
      <c r="H18" s="172" t="str">
        <f>Insideinfo!G12</f>
        <v/>
      </c>
      <c r="I18" s="173"/>
      <c r="J18" s="173"/>
      <c r="K18" s="173"/>
      <c r="L18" s="174"/>
      <c r="M18" s="160"/>
      <c r="N18" s="172" t="str">
        <f>Insideinfo!G13</f>
        <v/>
      </c>
      <c r="O18" s="173"/>
      <c r="P18" s="173"/>
      <c r="Q18" s="173"/>
      <c r="R18" s="174"/>
    </row>
    <row r="19" spans="2:18">
      <c r="B19" s="63" t="str">
        <f>IF(B17="","","of")</f>
        <v/>
      </c>
      <c r="C19" s="175" t="str">
        <f>IF(B17="","","Deck:")</f>
        <v/>
      </c>
      <c r="D19" s="175"/>
      <c r="E19" s="55" t="str">
        <f>IF(B17="","","by")</f>
        <v/>
      </c>
      <c r="F19" s="56"/>
      <c r="G19" s="160"/>
      <c r="H19" s="64" t="str">
        <f>IF(H17="","","of")</f>
        <v/>
      </c>
      <c r="I19" s="190" t="str">
        <f>IF(H17="","","Deck:")</f>
        <v/>
      </c>
      <c r="J19" s="190"/>
      <c r="K19" s="65" t="str">
        <f>IF(H17="","","by")</f>
        <v/>
      </c>
      <c r="L19" s="66"/>
      <c r="M19" s="160"/>
      <c r="N19" s="64" t="str">
        <f>IF(N17="","","of")</f>
        <v/>
      </c>
      <c r="O19" s="190" t="str">
        <f>IF(N17="","","Deck:")</f>
        <v/>
      </c>
      <c r="P19" s="190"/>
      <c r="Q19" s="65" t="str">
        <f>IF(N17="","","by")</f>
        <v/>
      </c>
      <c r="R19" s="66"/>
    </row>
    <row r="20" spans="2:18">
      <c r="B20" s="168"/>
      <c r="C20" s="168"/>
      <c r="D20" s="168"/>
      <c r="E20" s="168"/>
      <c r="F20" s="168"/>
      <c r="G20" s="160"/>
      <c r="H20" s="168"/>
      <c r="I20" s="168"/>
      <c r="J20" s="168"/>
      <c r="K20" s="168"/>
      <c r="L20" s="168"/>
      <c r="M20" s="160"/>
      <c r="N20" s="168"/>
      <c r="O20" s="168"/>
      <c r="P20" s="168"/>
      <c r="Q20" s="168"/>
      <c r="R20" s="168"/>
    </row>
    <row r="21" spans="2:18">
      <c r="B21" s="57" t="str">
        <f>IF(B22="","",Insideinfo!H14)</f>
        <v/>
      </c>
      <c r="C21" s="58"/>
      <c r="D21" s="52"/>
      <c r="E21" s="176" t="str">
        <f>Insideinfo!I14</f>
        <v/>
      </c>
      <c r="F21" s="177"/>
      <c r="G21" s="160"/>
      <c r="H21" s="59" t="str">
        <f>IF(H22="","",Insideinfo!H15)</f>
        <v/>
      </c>
      <c r="I21" s="60"/>
      <c r="J21" s="61"/>
      <c r="K21" s="178" t="str">
        <f>Insideinfo!I15</f>
        <v/>
      </c>
      <c r="L21" s="179"/>
      <c r="M21" s="160"/>
      <c r="N21" s="59" t="str">
        <f>IF(N22="","",Insideinfo!H16)</f>
        <v/>
      </c>
      <c r="O21" s="62"/>
      <c r="P21" s="61"/>
      <c r="Q21" s="188" t="str">
        <f>Insideinfo!I16</f>
        <v/>
      </c>
      <c r="R21" s="189"/>
    </row>
    <row r="22" spans="2:18" ht="15.75">
      <c r="B22" s="180" t="str">
        <f>Insideinfo!F14</f>
        <v/>
      </c>
      <c r="C22" s="181"/>
      <c r="D22" s="181"/>
      <c r="E22" s="181"/>
      <c r="F22" s="182"/>
      <c r="G22" s="160"/>
      <c r="H22" s="183" t="str">
        <f>Insideinfo!F15</f>
        <v/>
      </c>
      <c r="I22" s="151"/>
      <c r="J22" s="151"/>
      <c r="K22" s="151"/>
      <c r="L22" s="184"/>
      <c r="M22" s="160"/>
      <c r="N22" s="183" t="str">
        <f>Insideinfo!F16</f>
        <v/>
      </c>
      <c r="O22" s="151"/>
      <c r="P22" s="151"/>
      <c r="Q22" s="151"/>
      <c r="R22" s="184"/>
    </row>
    <row r="23" spans="2:18" ht="15.75">
      <c r="B23" s="169" t="str">
        <f>Insideinfo!G14</f>
        <v/>
      </c>
      <c r="C23" s="170"/>
      <c r="D23" s="170"/>
      <c r="E23" s="170"/>
      <c r="F23" s="171"/>
      <c r="G23" s="160"/>
      <c r="H23" s="172" t="str">
        <f>Insideinfo!G15</f>
        <v/>
      </c>
      <c r="I23" s="173"/>
      <c r="J23" s="173"/>
      <c r="K23" s="173"/>
      <c r="L23" s="174"/>
      <c r="M23" s="160"/>
      <c r="N23" s="172" t="str">
        <f>Insideinfo!G16</f>
        <v/>
      </c>
      <c r="O23" s="173"/>
      <c r="P23" s="173"/>
      <c r="Q23" s="173"/>
      <c r="R23" s="174"/>
    </row>
    <row r="24" spans="2:18">
      <c r="B24" s="63" t="str">
        <f>IF(B22="","","of")</f>
        <v/>
      </c>
      <c r="C24" s="175" t="str">
        <f>IF(B22="","","Deck:")</f>
        <v/>
      </c>
      <c r="D24" s="175"/>
      <c r="E24" s="55" t="str">
        <f>IF(B22="","","by")</f>
        <v/>
      </c>
      <c r="F24" s="56"/>
      <c r="G24" s="160"/>
      <c r="H24" s="72" t="str">
        <f>IF(H22="","","of")</f>
        <v/>
      </c>
      <c r="I24" s="175" t="str">
        <f>IF(H22="","","Deck:")</f>
        <v/>
      </c>
      <c r="J24" s="175"/>
      <c r="K24" s="55" t="str">
        <f>IF(H22="","","by")</f>
        <v/>
      </c>
      <c r="L24" s="66"/>
      <c r="M24" s="160"/>
      <c r="N24" s="72" t="str">
        <f>IF(N22="","","of")</f>
        <v/>
      </c>
      <c r="O24" s="175" t="str">
        <f>IF(N22="","","Deck:")</f>
        <v/>
      </c>
      <c r="P24" s="175"/>
      <c r="Q24" s="73" t="str">
        <f>IF(N22="","","by")</f>
        <v/>
      </c>
      <c r="R24" s="66"/>
    </row>
    <row r="25" spans="2:18">
      <c r="G25" s="160"/>
      <c r="M25" s="160"/>
    </row>
    <row r="26" spans="2:18">
      <c r="B26" s="57" t="str">
        <f>IF(B27="","",Insideinfo!H17)</f>
        <v/>
      </c>
      <c r="C26" s="58"/>
      <c r="D26" s="52"/>
      <c r="E26" s="176" t="str">
        <f>Insideinfo!I17</f>
        <v/>
      </c>
      <c r="F26" s="177"/>
      <c r="G26" s="160"/>
      <c r="H26" s="59" t="str">
        <f>IF(H27="","",Insideinfo!H18)</f>
        <v/>
      </c>
      <c r="I26" s="60"/>
      <c r="J26" s="61"/>
      <c r="K26" s="186" t="str">
        <f>Insideinfo!I18</f>
        <v/>
      </c>
      <c r="L26" s="187"/>
      <c r="M26" s="160"/>
      <c r="N26" s="59" t="str">
        <f>IF(N27="","",Insideinfo!H19)</f>
        <v/>
      </c>
      <c r="O26" s="62"/>
      <c r="P26" s="61"/>
      <c r="Q26" s="186" t="str">
        <f>Insideinfo!I19</f>
        <v/>
      </c>
      <c r="R26" s="187"/>
    </row>
    <row r="27" spans="2:18" ht="15.75">
      <c r="B27" s="180" t="str">
        <f>Insideinfo!F17</f>
        <v/>
      </c>
      <c r="C27" s="181"/>
      <c r="D27" s="181"/>
      <c r="E27" s="181"/>
      <c r="F27" s="182"/>
      <c r="G27" s="160"/>
      <c r="H27" s="183" t="str">
        <f>Insideinfo!F18</f>
        <v/>
      </c>
      <c r="I27" s="151"/>
      <c r="J27" s="151"/>
      <c r="K27" s="151"/>
      <c r="L27" s="184"/>
      <c r="M27" s="160"/>
      <c r="N27" s="183" t="str">
        <f>Insideinfo!F19</f>
        <v/>
      </c>
      <c r="O27" s="151"/>
      <c r="P27" s="151"/>
      <c r="Q27" s="151"/>
      <c r="R27" s="184"/>
    </row>
    <row r="28" spans="2:18" ht="15.75">
      <c r="B28" s="169" t="str">
        <f>Insideinfo!G17</f>
        <v/>
      </c>
      <c r="C28" s="170"/>
      <c r="D28" s="170"/>
      <c r="E28" s="170"/>
      <c r="F28" s="171"/>
      <c r="G28" s="160"/>
      <c r="H28" s="172" t="str">
        <f>Insideinfo!G18</f>
        <v/>
      </c>
      <c r="I28" s="173"/>
      <c r="J28" s="173"/>
      <c r="K28" s="173"/>
      <c r="L28" s="174"/>
      <c r="M28" s="160"/>
      <c r="N28" s="172" t="str">
        <f>Insideinfo!G19</f>
        <v/>
      </c>
      <c r="O28" s="173"/>
      <c r="P28" s="173"/>
      <c r="Q28" s="173"/>
      <c r="R28" s="174"/>
    </row>
    <row r="29" spans="2:18">
      <c r="B29" s="63" t="str">
        <f>IF(B27="","","of")</f>
        <v/>
      </c>
      <c r="C29" s="175" t="str">
        <f>IF(B27="","","Deck:")</f>
        <v/>
      </c>
      <c r="D29" s="175"/>
      <c r="E29" s="55" t="str">
        <f>IF(B27="","","by")</f>
        <v/>
      </c>
      <c r="F29" s="56"/>
      <c r="G29" s="160"/>
      <c r="H29" s="63" t="str">
        <f>IF(H27="","","of")</f>
        <v/>
      </c>
      <c r="I29" s="175" t="str">
        <f>IF(H27="","","Deck:")</f>
        <v/>
      </c>
      <c r="J29" s="175"/>
      <c r="K29" s="55" t="str">
        <f>IF(H27="","","by")</f>
        <v/>
      </c>
      <c r="L29" s="66"/>
      <c r="M29" s="160"/>
      <c r="N29" s="63" t="str">
        <f>IF(N27="","","of")</f>
        <v/>
      </c>
      <c r="O29" s="175" t="str">
        <f>IF(N29="","","Deck:")</f>
        <v/>
      </c>
      <c r="P29" s="175"/>
      <c r="Q29" s="55" t="str">
        <f>IF(N27="","","by")</f>
        <v/>
      </c>
      <c r="R29" s="66"/>
    </row>
    <row r="30" spans="2:18">
      <c r="G30" s="160"/>
      <c r="M30" s="160"/>
    </row>
    <row r="31" spans="2:18">
      <c r="B31" s="57" t="str">
        <f>IF(B32="","",Insideinfo!H20)</f>
        <v/>
      </c>
      <c r="C31" s="58"/>
      <c r="D31" s="52"/>
      <c r="E31" s="176" t="str">
        <f>Insideinfo!I20</f>
        <v/>
      </c>
      <c r="F31" s="177"/>
      <c r="G31" s="160"/>
      <c r="H31" s="59" t="str">
        <f>IF(H32="","",Insideinfo!H21)</f>
        <v/>
      </c>
      <c r="I31" s="60"/>
      <c r="J31" s="61"/>
      <c r="K31" s="178" t="str">
        <f>Insideinfo!I21</f>
        <v/>
      </c>
      <c r="L31" s="179"/>
      <c r="M31" s="160"/>
      <c r="N31" s="59" t="str">
        <f>IF(N32="","",Insideinfo!H22)</f>
        <v/>
      </c>
      <c r="O31" s="62"/>
      <c r="P31" s="61"/>
      <c r="Q31" s="178" t="str">
        <f>Insideinfo!I22</f>
        <v/>
      </c>
      <c r="R31" s="179"/>
    </row>
    <row r="32" spans="2:18" ht="15.75">
      <c r="B32" s="180" t="str">
        <f>Insideinfo!F20</f>
        <v/>
      </c>
      <c r="C32" s="181"/>
      <c r="D32" s="181"/>
      <c r="E32" s="181"/>
      <c r="F32" s="182"/>
      <c r="G32" s="160"/>
      <c r="H32" s="183" t="str">
        <f>Insideinfo!F21</f>
        <v/>
      </c>
      <c r="I32" s="151"/>
      <c r="J32" s="151"/>
      <c r="K32" s="151"/>
      <c r="L32" s="184"/>
      <c r="M32" s="160"/>
      <c r="N32" s="183" t="str">
        <f>Insideinfo!F22</f>
        <v/>
      </c>
      <c r="O32" s="151"/>
      <c r="P32" s="151"/>
      <c r="Q32" s="151"/>
      <c r="R32" s="184"/>
    </row>
    <row r="33" spans="2:18" ht="15.75">
      <c r="B33" s="169" t="str">
        <f>Insideinfo!G20</f>
        <v/>
      </c>
      <c r="C33" s="170"/>
      <c r="D33" s="170"/>
      <c r="E33" s="170"/>
      <c r="F33" s="171"/>
      <c r="G33" s="160"/>
      <c r="H33" s="172" t="str">
        <f>Insideinfo!G21</f>
        <v/>
      </c>
      <c r="I33" s="173"/>
      <c r="J33" s="173"/>
      <c r="K33" s="173"/>
      <c r="L33" s="174"/>
      <c r="M33" s="160"/>
      <c r="N33" s="172" t="str">
        <f>Insideinfo!G22</f>
        <v/>
      </c>
      <c r="O33" s="173"/>
      <c r="P33" s="173"/>
      <c r="Q33" s="173"/>
      <c r="R33" s="174"/>
    </row>
    <row r="34" spans="2:18">
      <c r="B34" s="63" t="str">
        <f>IF(B32="","","of")</f>
        <v/>
      </c>
      <c r="C34" s="175" t="str">
        <f>IF(B32="","","Deck:")</f>
        <v/>
      </c>
      <c r="D34" s="175"/>
      <c r="E34" s="55" t="str">
        <f>IF(B32="","","by")</f>
        <v/>
      </c>
      <c r="F34" s="56"/>
      <c r="G34" s="160"/>
      <c r="H34" s="63" t="str">
        <f>IF(H32="","","of")</f>
        <v/>
      </c>
      <c r="I34" s="175" t="str">
        <f>IF(H32="","","Deck:")</f>
        <v/>
      </c>
      <c r="J34" s="175"/>
      <c r="K34" s="55" t="str">
        <f>IF(H32="","","by")</f>
        <v/>
      </c>
      <c r="L34" s="66"/>
      <c r="M34" s="160"/>
      <c r="N34" s="63" t="str">
        <f>IF(N32="","","of")</f>
        <v/>
      </c>
      <c r="O34" s="185" t="str">
        <f>IF(N32="","","Deck:")</f>
        <v/>
      </c>
      <c r="P34" s="185"/>
      <c r="Q34" s="55" t="str">
        <f>IF(N32="","","by")</f>
        <v/>
      </c>
      <c r="R34" s="66"/>
    </row>
    <row r="35" spans="2:18">
      <c r="G35" s="160"/>
      <c r="M35" s="160"/>
    </row>
    <row r="36" spans="2:18">
      <c r="B36" s="57" t="str">
        <f>IF(B38="","",Insideinfo!H23)</f>
        <v/>
      </c>
      <c r="C36" s="58"/>
      <c r="D36" s="52"/>
      <c r="E36" s="176" t="str">
        <f>Insideinfo!I23</f>
        <v/>
      </c>
      <c r="F36" s="177"/>
      <c r="G36" s="160"/>
      <c r="H36" s="59" t="str">
        <f>IF(H38="","",Insideinfo!H24)</f>
        <v/>
      </c>
      <c r="I36" s="60"/>
      <c r="J36" s="61"/>
      <c r="K36" s="178" t="str">
        <f>Insideinfo!I24</f>
        <v/>
      </c>
      <c r="L36" s="179"/>
      <c r="M36" s="160"/>
      <c r="N36" s="59" t="str">
        <f>IF(H39="","",Insideinfo!H25)</f>
        <v/>
      </c>
      <c r="O36" s="62"/>
      <c r="P36" s="61"/>
      <c r="Q36" s="178" t="str">
        <f>Insideinfo!I25</f>
        <v/>
      </c>
      <c r="R36" s="179"/>
    </row>
    <row r="37" spans="2:18" ht="15.75">
      <c r="B37" s="180" t="str">
        <f>Insideinfo!F23</f>
        <v/>
      </c>
      <c r="C37" s="181"/>
      <c r="D37" s="181"/>
      <c r="E37" s="181"/>
      <c r="F37" s="182"/>
      <c r="G37" s="160"/>
      <c r="H37" s="183" t="str">
        <f>Insideinfo!F24</f>
        <v/>
      </c>
      <c r="I37" s="151"/>
      <c r="J37" s="151"/>
      <c r="K37" s="151"/>
      <c r="L37" s="184"/>
      <c r="M37" s="160"/>
      <c r="N37" s="183" t="str">
        <f>Insideinfo!F25</f>
        <v/>
      </c>
      <c r="O37" s="151"/>
      <c r="P37" s="151"/>
      <c r="Q37" s="151"/>
      <c r="R37" s="184"/>
    </row>
    <row r="38" spans="2:18" ht="15.75">
      <c r="B38" s="169" t="str">
        <f>Insideinfo!G23</f>
        <v/>
      </c>
      <c r="C38" s="170"/>
      <c r="D38" s="170"/>
      <c r="E38" s="170"/>
      <c r="F38" s="171"/>
      <c r="G38" s="160"/>
      <c r="H38" s="172" t="str">
        <f>Insideinfo!G24</f>
        <v/>
      </c>
      <c r="I38" s="173"/>
      <c r="J38" s="173"/>
      <c r="K38" s="173"/>
      <c r="L38" s="174"/>
      <c r="M38" s="160"/>
      <c r="N38" s="172" t="str">
        <f>Insideinfo!G25</f>
        <v/>
      </c>
      <c r="O38" s="173"/>
      <c r="P38" s="173"/>
      <c r="Q38" s="173"/>
      <c r="R38" s="174"/>
    </row>
    <row r="39" spans="2:18">
      <c r="B39" s="63" t="str">
        <f>IF(B37="","","of")</f>
        <v/>
      </c>
      <c r="C39" s="175" t="str">
        <f>IF(B37="","","Deck:")</f>
        <v/>
      </c>
      <c r="D39" s="175"/>
      <c r="E39" s="55" t="str">
        <f>IF(B37="","","by")</f>
        <v/>
      </c>
      <c r="F39" s="56"/>
      <c r="G39" s="160"/>
      <c r="H39" s="63" t="str">
        <f>IF(H37="","","of")</f>
        <v/>
      </c>
      <c r="I39" s="175" t="str">
        <f>IF(H37="","","Deck:")</f>
        <v/>
      </c>
      <c r="J39" s="175"/>
      <c r="K39" s="55" t="str">
        <f>IF(H37="","","by")</f>
        <v/>
      </c>
      <c r="L39" s="66"/>
      <c r="M39" s="160"/>
      <c r="N39" s="63" t="str">
        <f>IF(N37="","","of")</f>
        <v/>
      </c>
      <c r="O39" s="175" t="str">
        <f>IF(N37="","","Deck:")</f>
        <v/>
      </c>
      <c r="P39" s="175"/>
      <c r="Q39" s="55" t="str">
        <f>IF(N37="","","by")</f>
        <v/>
      </c>
      <c r="R39" s="66"/>
    </row>
  </sheetData>
  <mergeCells count="107">
    <mergeCell ref="B3:F3"/>
    <mergeCell ref="H3:L3"/>
    <mergeCell ref="N3:R3"/>
    <mergeCell ref="C4:D4"/>
    <mergeCell ref="I4:J4"/>
    <mergeCell ref="O4:P4"/>
    <mergeCell ref="E1:F1"/>
    <mergeCell ref="K1:L1"/>
    <mergeCell ref="Q1:R1"/>
    <mergeCell ref="B2:F2"/>
    <mergeCell ref="H2:L2"/>
    <mergeCell ref="N2:R2"/>
    <mergeCell ref="B8:F8"/>
    <mergeCell ref="H8:L8"/>
    <mergeCell ref="N8:R8"/>
    <mergeCell ref="C9:D9"/>
    <mergeCell ref="I9:J9"/>
    <mergeCell ref="O9:P9"/>
    <mergeCell ref="E6:F6"/>
    <mergeCell ref="K6:L6"/>
    <mergeCell ref="Q6:R6"/>
    <mergeCell ref="B7:F7"/>
    <mergeCell ref="H7:L7"/>
    <mergeCell ref="N7:R7"/>
    <mergeCell ref="B13:F13"/>
    <mergeCell ref="H13:L13"/>
    <mergeCell ref="N13:R13"/>
    <mergeCell ref="C14:D14"/>
    <mergeCell ref="I14:J14"/>
    <mergeCell ref="O14:P14"/>
    <mergeCell ref="E11:F11"/>
    <mergeCell ref="K11:L11"/>
    <mergeCell ref="Q11:R11"/>
    <mergeCell ref="B12:F12"/>
    <mergeCell ref="H12:L12"/>
    <mergeCell ref="N12:R12"/>
    <mergeCell ref="B18:F18"/>
    <mergeCell ref="H18:L18"/>
    <mergeCell ref="N18:R18"/>
    <mergeCell ref="C19:D19"/>
    <mergeCell ref="I19:J19"/>
    <mergeCell ref="O19:P19"/>
    <mergeCell ref="E16:F16"/>
    <mergeCell ref="K16:L16"/>
    <mergeCell ref="Q16:R16"/>
    <mergeCell ref="B17:F17"/>
    <mergeCell ref="H17:L17"/>
    <mergeCell ref="N17:R17"/>
    <mergeCell ref="B23:F23"/>
    <mergeCell ref="H23:L23"/>
    <mergeCell ref="N23:R23"/>
    <mergeCell ref="C24:D24"/>
    <mergeCell ref="I24:J24"/>
    <mergeCell ref="O24:P24"/>
    <mergeCell ref="E21:F21"/>
    <mergeCell ref="K21:L21"/>
    <mergeCell ref="Q21:R21"/>
    <mergeCell ref="B22:F22"/>
    <mergeCell ref="H22:L22"/>
    <mergeCell ref="N22:R22"/>
    <mergeCell ref="B28:F28"/>
    <mergeCell ref="H28:L28"/>
    <mergeCell ref="N28:R28"/>
    <mergeCell ref="C29:D29"/>
    <mergeCell ref="I29:J29"/>
    <mergeCell ref="O29:P29"/>
    <mergeCell ref="E26:F26"/>
    <mergeCell ref="K26:L26"/>
    <mergeCell ref="Q26:R26"/>
    <mergeCell ref="B27:F27"/>
    <mergeCell ref="H27:L27"/>
    <mergeCell ref="N27:R27"/>
    <mergeCell ref="H33:L33"/>
    <mergeCell ref="N33:R33"/>
    <mergeCell ref="C34:D34"/>
    <mergeCell ref="I34:J34"/>
    <mergeCell ref="O34:P34"/>
    <mergeCell ref="E31:F31"/>
    <mergeCell ref="K31:L31"/>
    <mergeCell ref="Q31:R31"/>
    <mergeCell ref="B32:F32"/>
    <mergeCell ref="H32:L32"/>
    <mergeCell ref="N32:R32"/>
    <mergeCell ref="B20:F20"/>
    <mergeCell ref="B38:F38"/>
    <mergeCell ref="H38:L38"/>
    <mergeCell ref="N38:R38"/>
    <mergeCell ref="C39:D39"/>
    <mergeCell ref="I39:J39"/>
    <mergeCell ref="O39:P39"/>
    <mergeCell ref="G1:G39"/>
    <mergeCell ref="M1:M39"/>
    <mergeCell ref="B10:F10"/>
    <mergeCell ref="H10:L10"/>
    <mergeCell ref="N10:R10"/>
    <mergeCell ref="N5:R5"/>
    <mergeCell ref="H5:L5"/>
    <mergeCell ref="B5:F5"/>
    <mergeCell ref="H20:L20"/>
    <mergeCell ref="N20:R20"/>
    <mergeCell ref="E36:F36"/>
    <mergeCell ref="K36:L36"/>
    <mergeCell ref="Q36:R36"/>
    <mergeCell ref="B37:F37"/>
    <mergeCell ref="H37:L37"/>
    <mergeCell ref="N37:R37"/>
    <mergeCell ref="B33:F3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S25"/>
  <sheetViews>
    <sheetView workbookViewId="0">
      <selection activeCell="C24" sqref="C24"/>
    </sheetView>
  </sheetViews>
  <sheetFormatPr defaultRowHeight="15"/>
  <cols>
    <col min="1" max="1" width="5.28515625" customWidth="1"/>
    <col min="2" max="2" width="20.5703125" customWidth="1"/>
    <col min="3" max="3" width="36.7109375" customWidth="1"/>
    <col min="4" max="4" width="17" customWidth="1"/>
    <col min="5" max="5" width="25.28515625" customWidth="1"/>
    <col min="6" max="6" width="34.85546875" customWidth="1"/>
    <col min="7" max="7" width="40.140625" customWidth="1"/>
    <col min="8" max="8" width="9.5703125" customWidth="1"/>
    <col min="9" max="9" width="32.7109375" customWidth="1"/>
    <col min="10" max="10" width="34.85546875" customWidth="1"/>
    <col min="21" max="21" width="8.140625" customWidth="1"/>
  </cols>
  <sheetData>
    <row r="1" spans="1:19">
      <c r="B1" t="s">
        <v>46</v>
      </c>
      <c r="C1" t="s">
        <v>25</v>
      </c>
      <c r="D1" t="s">
        <v>71</v>
      </c>
      <c r="E1" t="s">
        <v>45</v>
      </c>
      <c r="F1" t="s">
        <v>35</v>
      </c>
      <c r="G1" t="s">
        <v>25</v>
      </c>
      <c r="H1" t="s">
        <v>36</v>
      </c>
      <c r="I1" t="s">
        <v>43</v>
      </c>
    </row>
    <row r="2" spans="1:19">
      <c r="A2">
        <v>1</v>
      </c>
      <c r="B2" t="str">
        <f>VLOOKUP(Inside!A2,LookUp!A2:Y25,2,FALSE)</f>
        <v>Contractor and Subcontractor Payments</v>
      </c>
      <c r="C2" t="str">
        <f>VLOOKUP(Inside!A2,LookUp!A28:Y51,2,FALSE)</f>
        <v>PA House Commerce committee hearing</v>
      </c>
      <c r="D2" t="str">
        <f>VLOOKUP(Inside!A2,LookUp!A54:Y77,2,FALSE)</f>
        <v>CLEAN</v>
      </c>
      <c r="E2" t="str">
        <f ca="1">VLOOKUP(Inside!A2,LookUp!A80:Y103,2,FALSE)</f>
        <v>04/07/2015</v>
      </c>
      <c r="F2" t="str">
        <f>IF(B2=0,"",B2)</f>
        <v>Contractor and Subcontractor Payments</v>
      </c>
      <c r="G2" t="str">
        <f>IF(C2=0,"",C2)</f>
        <v>PA House Commerce committee hearing</v>
      </c>
      <c r="H2" t="str">
        <f>IF(D2=0,"",D2)</f>
        <v>CLEAN</v>
      </c>
      <c r="I2" s="70" t="str">
        <f ca="1">IF(E2=0,"",E2)</f>
        <v>04/07/2015</v>
      </c>
      <c r="J2" s="24"/>
    </row>
    <row r="3" spans="1:19">
      <c r="A3">
        <v>2</v>
      </c>
      <c r="B3" t="str">
        <f>VLOOKUP(Inside!A2,LookUp!A2:Y25,3,FALSE)</f>
        <v>Contractor and Subcontractor Payments</v>
      </c>
      <c r="C3" t="str">
        <f>VLOOKUP(Inside!A2,LookUp!A28:Y51,3,FALSE)</f>
        <v>PA House Commerce committee hearing</v>
      </c>
      <c r="D3" t="str">
        <f>VLOOKUP(Inside!A2,LookUp!A54:Y77,3,FALSE)</f>
        <v>AD</v>
      </c>
      <c r="E3" t="str">
        <f ca="1">VLOOKUP(Inside!A2,LookUp!A80:Y103,3,FALSE)</f>
        <v>04/07/2015</v>
      </c>
      <c r="F3" t="str">
        <f t="shared" ref="F3:F25" si="0">IF(B3=0,"",B3)</f>
        <v>Contractor and Subcontractor Payments</v>
      </c>
      <c r="G3" t="str">
        <f t="shared" ref="G3:G25" si="1">IF(C3=0,"",C3)</f>
        <v>PA House Commerce committee hearing</v>
      </c>
      <c r="H3" t="str">
        <f t="shared" ref="H3:H25" si="2">IF(D3=0,"",D3)</f>
        <v>AD</v>
      </c>
      <c r="I3" s="70" t="str">
        <f t="shared" ref="I3:I25" ca="1" si="3">IF(E3=0,"",E3)</f>
        <v>04/07/2015</v>
      </c>
      <c r="J3" s="24"/>
    </row>
    <row r="4" spans="1:19">
      <c r="A4">
        <v>3</v>
      </c>
      <c r="B4" t="str">
        <f>VLOOKUP(Inside!A2,LookUp!A2:Y25,4,FALSE)</f>
        <v>Medical Marijuana</v>
      </c>
      <c r="C4" t="str">
        <f>VLOOKUP(Inside!A2,LookUp!A28:Y51,4,FALSE)</f>
        <v>PA House Health and Judiciary committees</v>
      </c>
      <c r="D4" t="str">
        <f>VLOOKUP(Inside!A2,LookUp!A54:Y77,4,FALSE)</f>
        <v>CLEAN</v>
      </c>
      <c r="E4" t="str">
        <f ca="1">VLOOKUP(Inside!A2,LookUp!A80:Y103,4,FALSE)</f>
        <v>04/08/2015</v>
      </c>
      <c r="F4" t="str">
        <f t="shared" si="0"/>
        <v>Medical Marijuana</v>
      </c>
      <c r="G4" t="str">
        <f t="shared" si="1"/>
        <v>PA House Health and Judiciary committees</v>
      </c>
      <c r="H4" t="str">
        <f t="shared" si="2"/>
        <v>CLEAN</v>
      </c>
      <c r="I4" s="70" t="str">
        <f t="shared" ca="1" si="3"/>
        <v>04/08/2015</v>
      </c>
      <c r="J4" s="24"/>
      <c r="S4" s="25"/>
    </row>
    <row r="5" spans="1:19">
      <c r="A5">
        <v>4</v>
      </c>
      <c r="B5" t="str">
        <f>VLOOKUP(Inside!A2,LookUp!A2:Y25,5,FALSE)</f>
        <v>Medical Marijuana</v>
      </c>
      <c r="C5" t="str">
        <f>VLOOKUP(Inside!A2,LookUp!A28:Y51,5,FALSE)</f>
        <v>PA House Health and Judiciary committees</v>
      </c>
      <c r="D5" t="str">
        <f>VLOOKUP(Inside!A2,LookUp!A54:Y77,5,FALSE)</f>
        <v>AD</v>
      </c>
      <c r="E5" t="str">
        <f ca="1">VLOOKUP(Inside!A2,LookUp!A80:Y103,5,FALSE)</f>
        <v>04/08/2015</v>
      </c>
      <c r="F5" t="str">
        <f t="shared" si="0"/>
        <v>Medical Marijuana</v>
      </c>
      <c r="G5" t="str">
        <f t="shared" si="1"/>
        <v>PA House Health and Judiciary committees</v>
      </c>
      <c r="H5" t="str">
        <f t="shared" si="2"/>
        <v>AD</v>
      </c>
      <c r="I5" s="70" t="str">
        <f t="shared" ca="1" si="3"/>
        <v>04/08/2015</v>
      </c>
      <c r="J5" s="24"/>
      <c r="S5" s="25"/>
    </row>
    <row r="6" spans="1:19">
      <c r="A6">
        <v>5</v>
      </c>
      <c r="B6" t="str">
        <f>VLOOKUP(Inside!A2,LookUp!A2:Y25,6,FALSE)</f>
        <v>League of Women Voters of PA-Citizen Education Fun</v>
      </c>
      <c r="C6" t="str">
        <f>VLOOKUP(Inside!A2,LookUp!A28:Y51,6,FALSE)</f>
        <v>League of Women Voters of PA-Citizen Edu</v>
      </c>
      <c r="D6" t="str">
        <f>VLOOKUP(Inside!A2,LookUp!A54:Y77,6,FALSE)</f>
        <v>AD</v>
      </c>
      <c r="E6" t="str">
        <f ca="1">VLOOKUP(Inside!A2,LookUp!A80:Y103,6,FALSE)</f>
        <v>04/07/2015</v>
      </c>
      <c r="F6" t="str">
        <f t="shared" si="0"/>
        <v>League of Women Voters of PA-Citizen Education Fun</v>
      </c>
      <c r="G6" t="str">
        <f t="shared" si="1"/>
        <v>League of Women Voters of PA-Citizen Edu</v>
      </c>
      <c r="H6" t="str">
        <f t="shared" si="2"/>
        <v>AD</v>
      </c>
      <c r="I6" s="70" t="str">
        <f t="shared" ca="1" si="3"/>
        <v>04/07/2015</v>
      </c>
      <c r="J6" s="24"/>
      <c r="S6" s="25"/>
    </row>
    <row r="7" spans="1:19">
      <c r="A7">
        <v>6</v>
      </c>
      <c r="B7" t="str">
        <f>VLOOKUP(Inside!A2,LookUp!A2:Y25,7,FALSE)</f>
        <v>Climate Impact on PA</v>
      </c>
      <c r="C7" t="str">
        <f>VLOOKUP(Inside!A2,LookUp!A28:Y51,7,FALSE)</f>
        <v>Widener University School of Law forum w</v>
      </c>
      <c r="D7" t="str">
        <f>VLOOKUP(Inside!A2,LookUp!A54:Y77,7,FALSE)</f>
        <v>AD</v>
      </c>
      <c r="E7" t="str">
        <f ca="1">VLOOKUP(Inside!A2,LookUp!A80:Y103,7,FALSE)</f>
        <v>04/06/2015</v>
      </c>
      <c r="F7" t="str">
        <f t="shared" si="0"/>
        <v>Climate Impact on PA</v>
      </c>
      <c r="G7" t="str">
        <f t="shared" si="1"/>
        <v>Widener University School of Law forum w</v>
      </c>
      <c r="H7" t="str">
        <f t="shared" si="2"/>
        <v>AD</v>
      </c>
      <c r="I7" s="70" t="str">
        <f t="shared" ca="1" si="3"/>
        <v>04/06/2015</v>
      </c>
      <c r="J7" s="24"/>
      <c r="S7" s="25"/>
    </row>
    <row r="8" spans="1:19">
      <c r="A8">
        <v>7</v>
      </c>
      <c r="B8" t="str">
        <f>VLOOKUP(Inside!A2,LookUp!A2:Y25,8,FALSE)</f>
        <v>PA Supreme Court</v>
      </c>
      <c r="C8" t="str">
        <f>VLOOKUP(Inside!A2,LookUp!A28:Y51,8,FALSE)</f>
        <v>Pittsburgh</v>
      </c>
      <c r="D8" t="str">
        <f>VLOOKUP(Inside!A2,LookUp!A54:Y77,8,FALSE)</f>
        <v>CLEAN</v>
      </c>
      <c r="E8" t="str">
        <f ca="1">VLOOKUP(Inside!A2,LookUp!A80:Y103,8,FALSE)</f>
        <v>04/07/2015</v>
      </c>
      <c r="F8" t="str">
        <f t="shared" si="0"/>
        <v>PA Supreme Court</v>
      </c>
      <c r="G8" t="str">
        <f t="shared" si="1"/>
        <v>Pittsburgh</v>
      </c>
      <c r="H8" t="str">
        <f t="shared" si="2"/>
        <v>CLEAN</v>
      </c>
      <c r="I8" s="70" t="str">
        <f t="shared" ca="1" si="3"/>
        <v>04/07/2015</v>
      </c>
      <c r="J8" s="24"/>
      <c r="S8" s="25"/>
    </row>
    <row r="9" spans="1:19">
      <c r="A9">
        <v>8</v>
      </c>
      <c r="B9" t="str">
        <f>VLOOKUP(Inside!A2,LookUp!A2:Y25,9,FALSE)</f>
        <v>PA Supreme Court</v>
      </c>
      <c r="C9" t="str">
        <f>VLOOKUP(Inside!A2,LookUp!A28:Y51,9,FALSE)</f>
        <v>Pittsburgh</v>
      </c>
      <c r="D9" t="str">
        <f>VLOOKUP(Inside!A2,LookUp!A54:Y77,9,FALSE)</f>
        <v>CLEAN</v>
      </c>
      <c r="E9" t="str">
        <f ca="1">VLOOKUP(Inside!A2,LookUp!A80:Y103,9,FALSE)</f>
        <v>04/08/2015</v>
      </c>
      <c r="F9" t="str">
        <f t="shared" si="0"/>
        <v>PA Supreme Court</v>
      </c>
      <c r="G9" t="str">
        <f t="shared" si="1"/>
        <v>Pittsburgh</v>
      </c>
      <c r="H9" t="str">
        <f t="shared" si="2"/>
        <v>CLEAN</v>
      </c>
      <c r="I9" s="70" t="str">
        <f t="shared" ca="1" si="3"/>
        <v>04/08/2015</v>
      </c>
      <c r="J9" s="24"/>
      <c r="S9" s="25"/>
    </row>
    <row r="10" spans="1:19">
      <c r="A10">
        <v>9</v>
      </c>
      <c r="B10" t="str">
        <f>VLOOKUP(Inside!A2,LookUp!A2:Y25,10,FALSE)</f>
        <v>PA Public Utility Commission Meeting</v>
      </c>
      <c r="C10" t="str">
        <f>VLOOKUP(Inside!A2,LookUp!A28:Y51,10,FALSE)</f>
        <v>Harrisburg</v>
      </c>
      <c r="D10" t="str">
        <f>VLOOKUP(Inside!A2,LookUp!A54:Y77,10,FALSE)</f>
        <v>CLEAN</v>
      </c>
      <c r="E10" t="str">
        <f ca="1">VLOOKUP(Inside!A2,LookUp!A80:Y103,10,FALSE)</f>
        <v>04/09/2015</v>
      </c>
      <c r="F10" t="str">
        <f t="shared" si="0"/>
        <v>PA Public Utility Commission Meeting</v>
      </c>
      <c r="G10" t="str">
        <f t="shared" si="1"/>
        <v>Harrisburg</v>
      </c>
      <c r="H10" t="str">
        <f t="shared" si="2"/>
        <v>CLEAN</v>
      </c>
      <c r="I10" s="70" t="str">
        <f t="shared" ca="1" si="3"/>
        <v>04/09/2015</v>
      </c>
      <c r="J10" s="24"/>
      <c r="S10" s="25"/>
    </row>
    <row r="11" spans="1:19">
      <c r="A11">
        <v>10</v>
      </c>
      <c r="B11" t="str">
        <f>VLOOKUP(Inside!A2,LookUp!A2:Y25,11,FALSE)</f>
        <v/>
      </c>
      <c r="C11" t="str">
        <f>VLOOKUP(Inside!A2,LookUp!A28:Y51,11,FALSE)</f>
        <v/>
      </c>
      <c r="D11" t="str">
        <f>VLOOKUP(Inside!A2,LookUp!A54:Y77,11,FALSE)</f>
        <v>AD</v>
      </c>
      <c r="E11" t="str">
        <f>VLOOKUP(Inside!A2,LookUp!A80:Y103,11,FALSE)</f>
        <v/>
      </c>
      <c r="F11" t="str">
        <f t="shared" si="0"/>
        <v/>
      </c>
      <c r="G11" t="str">
        <f t="shared" si="1"/>
        <v/>
      </c>
      <c r="H11" t="str">
        <f t="shared" si="2"/>
        <v>AD</v>
      </c>
      <c r="I11" s="70" t="str">
        <f t="shared" si="3"/>
        <v/>
      </c>
      <c r="J11" s="24"/>
      <c r="S11" s="25"/>
    </row>
    <row r="12" spans="1:19">
      <c r="A12">
        <v>11</v>
      </c>
      <c r="B12" t="str">
        <f>VLOOKUP(Inside!A2,LookUp!A2:Y25,12,FALSE)</f>
        <v/>
      </c>
      <c r="C12" t="str">
        <f>VLOOKUP(Inside!A2,LookUp!A28:Y51,12,FALSE)</f>
        <v/>
      </c>
      <c r="D12" t="str">
        <f>VLOOKUP(Inside!A2,LookUp!A54:Y77,12,FALSE)</f>
        <v>AD</v>
      </c>
      <c r="E12" t="str">
        <f>VLOOKUP(Inside!A2,LookUp!A80:Y103,12,FALSE)</f>
        <v/>
      </c>
      <c r="F12" t="str">
        <f t="shared" si="0"/>
        <v/>
      </c>
      <c r="G12" t="str">
        <f t="shared" si="1"/>
        <v/>
      </c>
      <c r="H12" t="str">
        <f t="shared" si="2"/>
        <v>AD</v>
      </c>
      <c r="I12" s="70" t="str">
        <f t="shared" si="3"/>
        <v/>
      </c>
      <c r="J12" s="24"/>
      <c r="S12" s="25"/>
    </row>
    <row r="13" spans="1:19">
      <c r="A13">
        <v>12</v>
      </c>
      <c r="B13" t="str">
        <f>VLOOKUP(Inside!A2,LookUp!A2:Y25,13,FALSE)</f>
        <v/>
      </c>
      <c r="C13" t="str">
        <f>VLOOKUP(Inside!A2,LookUp!A28:Y51,13,FALSE)</f>
        <v/>
      </c>
      <c r="D13" t="str">
        <f>VLOOKUP(Inside!A2,LookUp!A54:Y77,13,FALSE)</f>
        <v>AD</v>
      </c>
      <c r="E13" t="str">
        <f>VLOOKUP(Inside!A2,LookUp!A80:Y103,13,FALSE)</f>
        <v/>
      </c>
      <c r="F13" t="str">
        <f t="shared" si="0"/>
        <v/>
      </c>
      <c r="G13" t="str">
        <f t="shared" si="1"/>
        <v/>
      </c>
      <c r="H13" t="str">
        <f t="shared" si="2"/>
        <v>AD</v>
      </c>
      <c r="I13" s="70" t="str">
        <f t="shared" si="3"/>
        <v/>
      </c>
      <c r="J13" s="24"/>
      <c r="S13" s="25"/>
    </row>
    <row r="14" spans="1:19">
      <c r="A14">
        <v>13</v>
      </c>
      <c r="B14" t="str">
        <f>VLOOKUP(Inside!A2,LookUp!A2:Y25,14,FALSE)</f>
        <v/>
      </c>
      <c r="C14" t="str">
        <f>VLOOKUP(Inside!A2,LookUp!A28:Y51,14,FALSE)</f>
        <v/>
      </c>
      <c r="D14" t="str">
        <f>VLOOKUP(Inside!A2,LookUp!A54:Y77,14,FALSE)</f>
        <v>AD</v>
      </c>
      <c r="E14" t="str">
        <f>VLOOKUP(Inside!A2,LookUp!A80:Y103,14,FALSE)</f>
        <v/>
      </c>
      <c r="F14" t="str">
        <f t="shared" si="0"/>
        <v/>
      </c>
      <c r="G14" t="str">
        <f t="shared" si="1"/>
        <v/>
      </c>
      <c r="H14" t="str">
        <f t="shared" si="2"/>
        <v>AD</v>
      </c>
      <c r="I14" s="70" t="str">
        <f t="shared" si="3"/>
        <v/>
      </c>
      <c r="J14" s="24"/>
      <c r="S14" s="25"/>
    </row>
    <row r="15" spans="1:19">
      <c r="A15">
        <v>14</v>
      </c>
      <c r="B15" t="str">
        <f>VLOOKUP(Inside!A2,LookUp!A2:Y25,15,FALSE)</f>
        <v/>
      </c>
      <c r="C15" t="str">
        <f>VLOOKUP(Inside!A2,LookUp!A28:Y51,15,FALSE)</f>
        <v/>
      </c>
      <c r="D15" t="str">
        <f>VLOOKUP(Inside!A2,LookUp!A54:Y77,15,FALSE)</f>
        <v>AD</v>
      </c>
      <c r="E15" t="str">
        <f>VLOOKUP(Inside!A2,LookUp!A80:Y103,15,FALSE)</f>
        <v/>
      </c>
      <c r="F15" t="str">
        <f t="shared" si="0"/>
        <v/>
      </c>
      <c r="G15" t="str">
        <f t="shared" si="1"/>
        <v/>
      </c>
      <c r="H15" t="str">
        <f t="shared" si="2"/>
        <v>AD</v>
      </c>
      <c r="I15" s="70" t="str">
        <f t="shared" si="3"/>
        <v/>
      </c>
      <c r="J15" s="24"/>
      <c r="S15" s="25"/>
    </row>
    <row r="16" spans="1:19">
      <c r="A16">
        <v>15</v>
      </c>
      <c r="B16" t="str">
        <f>VLOOKUP(Inside!A2,LookUp!A2:Y25,16,FALSE)</f>
        <v/>
      </c>
      <c r="C16" t="str">
        <f>VLOOKUP(Inside!A2,LookUp!A28:Y51,16,FALSE)</f>
        <v/>
      </c>
      <c r="D16" t="str">
        <f>VLOOKUP(Inside!A2,LookUp!A54:Y77,16,FALSE)</f>
        <v>AD</v>
      </c>
      <c r="E16" t="str">
        <f>VLOOKUP(Inside!A2,LookUp!A80:Y103,16,FALSE)</f>
        <v/>
      </c>
      <c r="F16" t="str">
        <f t="shared" si="0"/>
        <v/>
      </c>
      <c r="G16" t="str">
        <f t="shared" si="1"/>
        <v/>
      </c>
      <c r="H16" t="str">
        <f t="shared" si="2"/>
        <v>AD</v>
      </c>
      <c r="I16" s="70" t="str">
        <f t="shared" si="3"/>
        <v/>
      </c>
      <c r="J16" s="24"/>
      <c r="S16" s="25"/>
    </row>
    <row r="17" spans="1:19">
      <c r="A17">
        <v>16</v>
      </c>
      <c r="B17" t="str">
        <f>VLOOKUP(Inside!A2,LookUp!A2:Y25,17,FALSE)</f>
        <v/>
      </c>
      <c r="C17" t="str">
        <f>VLOOKUP(Inside!A2,LookUp!A28:Y51,17,FALSE)</f>
        <v/>
      </c>
      <c r="D17" t="str">
        <f>VLOOKUP(Inside!A2,LookUp!A54:Y77,17,FALSE)</f>
        <v>AD</v>
      </c>
      <c r="E17" t="str">
        <f>VLOOKUP(Inside!A2,LookUp!A80:Y103,17,FALSE)</f>
        <v/>
      </c>
      <c r="F17" t="str">
        <f t="shared" si="0"/>
        <v/>
      </c>
      <c r="G17" t="str">
        <f t="shared" si="1"/>
        <v/>
      </c>
      <c r="H17" t="str">
        <f t="shared" si="2"/>
        <v>AD</v>
      </c>
      <c r="I17" s="70" t="str">
        <f t="shared" si="3"/>
        <v/>
      </c>
      <c r="J17" s="24"/>
      <c r="S17" s="25"/>
    </row>
    <row r="18" spans="1:19">
      <c r="A18">
        <v>17</v>
      </c>
      <c r="B18" t="str">
        <f>VLOOKUP(Inside!A2,LookUp!A2:Y25,18,FALSE)</f>
        <v/>
      </c>
      <c r="C18" t="str">
        <f>VLOOKUP(Inside!A2,LookUp!A28:Y51,18,FALSE)</f>
        <v/>
      </c>
      <c r="D18" t="str">
        <f>VLOOKUP(Inside!A2,LookUp!A54:Y77,18,FALSE)</f>
        <v>AD</v>
      </c>
      <c r="E18" t="str">
        <f>VLOOKUP(Inside!A2,LookUp!A80:Y103,18,FALSE)</f>
        <v/>
      </c>
      <c r="F18" t="str">
        <f t="shared" si="0"/>
        <v/>
      </c>
      <c r="G18" t="str">
        <f t="shared" si="1"/>
        <v/>
      </c>
      <c r="H18" t="str">
        <f t="shared" si="2"/>
        <v>AD</v>
      </c>
      <c r="I18" s="70" t="str">
        <f t="shared" si="3"/>
        <v/>
      </c>
      <c r="J18" s="24"/>
      <c r="S18" s="25"/>
    </row>
    <row r="19" spans="1:19">
      <c r="A19">
        <v>18</v>
      </c>
      <c r="B19" t="str">
        <f>VLOOKUP(Inside!A2,LookUp!A2:Y25,19,FALSE)</f>
        <v/>
      </c>
      <c r="C19" t="str">
        <f>VLOOKUP(Inside!A2,LookUp!A28:Y51,19,FALSE)</f>
        <v/>
      </c>
      <c r="D19" t="str">
        <f>VLOOKUP(Inside!A2,LookUp!A54:Y77,19,FALSE)</f>
        <v>AD</v>
      </c>
      <c r="E19" t="str">
        <f>VLOOKUP(Inside!A2,LookUp!A80:Y103,19,FALSE)</f>
        <v/>
      </c>
      <c r="F19" t="str">
        <f t="shared" si="0"/>
        <v/>
      </c>
      <c r="G19" t="str">
        <f t="shared" si="1"/>
        <v/>
      </c>
      <c r="H19" t="str">
        <f t="shared" si="2"/>
        <v>AD</v>
      </c>
      <c r="I19" s="70" t="str">
        <f t="shared" si="3"/>
        <v/>
      </c>
      <c r="J19" s="24"/>
      <c r="S19" s="25"/>
    </row>
    <row r="20" spans="1:19">
      <c r="A20">
        <v>19</v>
      </c>
      <c r="B20" t="str">
        <f>VLOOKUP(Inside!A2,LookUp!A2:Y25,20,FALSE)</f>
        <v/>
      </c>
      <c r="C20" t="str">
        <f>VLOOKUP(Inside!A2,LookUp!A28:Y51,20,FALSE)</f>
        <v/>
      </c>
      <c r="D20" t="str">
        <f>VLOOKUP(Inside!A2,LookUp!A54:Y77,20,FALSE)</f>
        <v>AD</v>
      </c>
      <c r="E20" t="str">
        <f>VLOOKUP(Inside!A2,LookUp!A80:Y103,20,FALSE)</f>
        <v/>
      </c>
      <c r="F20" t="str">
        <f t="shared" si="0"/>
        <v/>
      </c>
      <c r="G20" t="str">
        <f t="shared" si="1"/>
        <v/>
      </c>
      <c r="H20" t="str">
        <f t="shared" si="2"/>
        <v>AD</v>
      </c>
      <c r="I20" s="70" t="str">
        <f t="shared" si="3"/>
        <v/>
      </c>
      <c r="J20" s="24"/>
      <c r="S20" s="25"/>
    </row>
    <row r="21" spans="1:19">
      <c r="A21">
        <v>20</v>
      </c>
      <c r="B21" t="str">
        <f>VLOOKUP(Inside!A2,LookUp!A2:Y25,21,FALSE)</f>
        <v/>
      </c>
      <c r="C21" t="str">
        <f>VLOOKUP(Inside!A2,LookUp!A28:Y51,21,FALSE)</f>
        <v/>
      </c>
      <c r="D21" t="str">
        <f>VLOOKUP(Inside!A2,LookUp!A54:Y77,21,FALSE)</f>
        <v>AD</v>
      </c>
      <c r="E21" t="str">
        <f>VLOOKUP(Inside!A2,LookUp!A80:Y103,21,FALSE)</f>
        <v/>
      </c>
      <c r="F21" t="str">
        <f t="shared" si="0"/>
        <v/>
      </c>
      <c r="G21" t="str">
        <f t="shared" si="1"/>
        <v/>
      </c>
      <c r="H21" t="str">
        <f t="shared" si="2"/>
        <v>AD</v>
      </c>
      <c r="I21" s="70" t="str">
        <f t="shared" si="3"/>
        <v/>
      </c>
      <c r="J21" s="24"/>
      <c r="S21" s="25"/>
    </row>
    <row r="22" spans="1:19">
      <c r="A22">
        <v>21</v>
      </c>
      <c r="B22" t="str">
        <f>VLOOKUP(Inside!A2,LookUp!A2:Y25,22,FALSE)</f>
        <v/>
      </c>
      <c r="C22" t="str">
        <f>VLOOKUP(Inside!A2,LookUp!A28:Y51,22,FALSE)</f>
        <v/>
      </c>
      <c r="D22" t="str">
        <f>VLOOKUP(Inside!A2,LookUp!A54:Y77,22,FALSE)</f>
        <v>AD</v>
      </c>
      <c r="E22" t="str">
        <f>VLOOKUP(Inside!A2,LookUp!A80:Y103,22,FALSE)</f>
        <v/>
      </c>
      <c r="F22" t="str">
        <f t="shared" si="0"/>
        <v/>
      </c>
      <c r="G22" t="str">
        <f t="shared" si="1"/>
        <v/>
      </c>
      <c r="H22" t="str">
        <f t="shared" si="2"/>
        <v>AD</v>
      </c>
      <c r="I22" s="70" t="str">
        <f t="shared" si="3"/>
        <v/>
      </c>
      <c r="J22" s="24"/>
      <c r="S22" s="25"/>
    </row>
    <row r="23" spans="1:19">
      <c r="A23">
        <v>22</v>
      </c>
      <c r="B23" t="str">
        <f>VLOOKUP(Inside!A2,LookUp!A2:Y25,23,FALSE)</f>
        <v/>
      </c>
      <c r="C23" t="str">
        <f>VLOOKUP(Inside!A2,LookUp!A28:Y51,23,FALSE)</f>
        <v/>
      </c>
      <c r="D23" t="str">
        <f>VLOOKUP(Inside!A2,LookUp!A54:Y77,23,FALSE)</f>
        <v>AD</v>
      </c>
      <c r="E23" t="str">
        <f>VLOOKUP(Inside!A2,LookUp!A80:Y103,23,FALSE)</f>
        <v/>
      </c>
      <c r="F23" t="str">
        <f t="shared" si="0"/>
        <v/>
      </c>
      <c r="G23" t="str">
        <f t="shared" si="1"/>
        <v/>
      </c>
      <c r="H23" t="str">
        <f t="shared" si="2"/>
        <v>AD</v>
      </c>
      <c r="I23" s="70" t="str">
        <f t="shared" si="3"/>
        <v/>
      </c>
      <c r="J23" s="24"/>
      <c r="S23" s="25"/>
    </row>
    <row r="24" spans="1:19">
      <c r="A24">
        <v>23</v>
      </c>
      <c r="B24" t="str">
        <f>VLOOKUP(Inside!A2,LookUp!A2:Y25,24,FALSE)</f>
        <v/>
      </c>
      <c r="C24" t="str">
        <f>VLOOKUP(Inside!A2,LookUp!A28:Y51,24,FALSE)</f>
        <v/>
      </c>
      <c r="D24" t="str">
        <f>VLOOKUP(Inside!A2,LookUp!A54:Y77,24,FALSE)</f>
        <v>AD</v>
      </c>
      <c r="E24" t="str">
        <f>VLOOKUP(Inside!A2,LookUp!A80:Y103,24,FALSE)</f>
        <v/>
      </c>
      <c r="F24" t="str">
        <f t="shared" si="0"/>
        <v/>
      </c>
      <c r="G24" t="str">
        <f t="shared" si="1"/>
        <v/>
      </c>
      <c r="H24" t="str">
        <f t="shared" si="2"/>
        <v>AD</v>
      </c>
      <c r="I24" s="70" t="str">
        <f t="shared" si="3"/>
        <v/>
      </c>
    </row>
    <row r="25" spans="1:19">
      <c r="A25">
        <v>24</v>
      </c>
      <c r="B25" t="str">
        <f>VLOOKUP(Inside!A2,LookUp!A2:Y25,25,FALSE)</f>
        <v/>
      </c>
      <c r="C25" t="str">
        <f>VLOOKUP(Inside!A2,LookUp!A28:Y51,25,FALSE)</f>
        <v/>
      </c>
      <c r="D25" t="str">
        <f>VLOOKUP(Inside!A2,LookUp!A54:Y77,25,FALSE)</f>
        <v>AD</v>
      </c>
      <c r="E25" t="str">
        <f>VLOOKUP(Inside!A2,LookUp!A80:Y103,25,FALSE)</f>
        <v/>
      </c>
      <c r="F25" t="str">
        <f t="shared" si="0"/>
        <v/>
      </c>
      <c r="G25" t="str">
        <f t="shared" si="1"/>
        <v/>
      </c>
      <c r="H25" t="str">
        <f t="shared" si="2"/>
        <v>AD</v>
      </c>
      <c r="I25" s="70" t="str">
        <f t="shared" si="3"/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A77"/>
  <sheetViews>
    <sheetView workbookViewId="0">
      <selection activeCell="A8" sqref="A8"/>
    </sheetView>
  </sheetViews>
  <sheetFormatPr defaultRowHeight="15"/>
  <cols>
    <col min="1" max="1" width="27.85546875" style="7" customWidth="1"/>
    <col min="2" max="2" width="12.85546875" style="7" customWidth="1"/>
    <col min="3" max="12" width="9.140625" style="7"/>
    <col min="13" max="13" width="5.140625" style="7" customWidth="1"/>
    <col min="14" max="14" width="4" style="7" customWidth="1"/>
    <col min="15" max="15" width="5.140625" style="7" customWidth="1"/>
    <col min="16" max="16" width="5" style="7" customWidth="1"/>
    <col min="17" max="17" width="4.28515625" style="7" customWidth="1"/>
    <col min="18" max="18" width="5.140625" style="7" customWidth="1"/>
    <col min="19" max="16384" width="9.140625" style="7"/>
  </cols>
  <sheetData>
    <row r="1" spans="1:27">
      <c r="A1" s="67" t="s">
        <v>37</v>
      </c>
      <c r="B1" s="7" t="s">
        <v>28</v>
      </c>
      <c r="C1" s="7" t="s">
        <v>29</v>
      </c>
      <c r="D1" s="7" t="s">
        <v>38</v>
      </c>
      <c r="E1" s="7" t="s">
        <v>31</v>
      </c>
      <c r="F1" s="7" t="s">
        <v>32</v>
      </c>
      <c r="G1" s="7" t="s">
        <v>39</v>
      </c>
      <c r="H1" s="7" t="s">
        <v>34</v>
      </c>
      <c r="I1" s="7" t="s">
        <v>42</v>
      </c>
      <c r="J1" s="7" t="s">
        <v>40</v>
      </c>
      <c r="M1" s="7" t="s">
        <v>28</v>
      </c>
      <c r="N1" s="7" t="s">
        <v>29</v>
      </c>
      <c r="O1" s="7" t="s">
        <v>38</v>
      </c>
      <c r="P1" s="7" t="s">
        <v>31</v>
      </c>
      <c r="Q1" s="7" t="s">
        <v>32</v>
      </c>
      <c r="R1" s="7" t="s">
        <v>39</v>
      </c>
      <c r="S1" s="7" t="s">
        <v>34</v>
      </c>
      <c r="T1" s="7" t="s">
        <v>42</v>
      </c>
      <c r="U1" s="7" t="s">
        <v>37</v>
      </c>
      <c r="V1" s="7" t="s">
        <v>41</v>
      </c>
    </row>
    <row r="2" spans="1:27">
      <c r="A2" s="68" t="str">
        <f>IF(Bug!F1="","",Bug!F1)</f>
        <v>Tuesday</v>
      </c>
      <c r="B2" s="68" t="str">
        <f ca="1">IF(ISNUMBER(SEARCH("Monday",A2)),(2-WEEKDAY(TODAY())+TODAY()), A2)</f>
        <v>Tuesday</v>
      </c>
      <c r="C2" s="68">
        <f ca="1">IF(ISNUMBER(SEARCH("Tuesday",B2)),(3-WEEKDAY(TODAY())+TODAY()), B2)</f>
        <v>42101</v>
      </c>
      <c r="D2" s="68">
        <f ca="1">IF(ISNUMBER(SEARCH("Wednesday",C2)),(4-WEEKDAY(TODAY())+TODAY()), C2)</f>
        <v>42101</v>
      </c>
      <c r="E2" s="68">
        <f ca="1">IF(ISNUMBER(SEARCH("Thursday",D2)),(5-WEEKDAY(TODAY())+TODAY()), D2)</f>
        <v>42101</v>
      </c>
      <c r="F2" s="68">
        <f ca="1">IF(ISNUMBER(SEARCH("Friday",E2)),(6-WEEKDAY(TODAY())+TODAY()), E2)</f>
        <v>42101</v>
      </c>
      <c r="G2" s="68">
        <f ca="1">IF(ISNUMBER(SEARCH("Saturday",F2)),(7-WEEKDAY(TODAY())+TODAY()), F2)</f>
        <v>42101</v>
      </c>
      <c r="H2" s="68">
        <f ca="1">IF(ISNUMBER(SEARCH("Sunday",G2)),(1-WEEKDAY(TODAY())+TODAY()), G2)</f>
        <v>42101</v>
      </c>
      <c r="I2" s="68">
        <f ca="1">IF(ISNUMBER(SEARCH("LIVE",H2)),Sheet2!E3, G2)</f>
        <v>42101</v>
      </c>
      <c r="J2" s="68">
        <f ca="1">IF(ISNUMBER(SEARCH("Today",I2)),Sheet2!I2, I2)</f>
        <v>42101</v>
      </c>
      <c r="K2" s="7" t="str">
        <f ca="1">TEXT(J2, "mm/dd/yyyy")</f>
        <v>04/07/2015</v>
      </c>
      <c r="L2" s="7" t="str">
        <f ca="1">IF(A2="Tuesday",K2,A2)</f>
        <v>04/07/2015</v>
      </c>
      <c r="M2" s="7" t="str">
        <f>IF(A2="Monday","REPLACE",A2)</f>
        <v>Tuesday</v>
      </c>
      <c r="N2" s="7" t="str">
        <f>IF(M2="Tuesday","REPLACE",M2)</f>
        <v>REPLACE</v>
      </c>
      <c r="O2" s="7" t="str">
        <f>IF(N2="Wednesday","REPLACE",N2)</f>
        <v>REPLACE</v>
      </c>
      <c r="P2" s="7" t="str">
        <f>IF(O2="Thursday","REPLACE",O2)</f>
        <v>REPLACE</v>
      </c>
      <c r="Q2" s="7" t="str">
        <f>IF(P2="Friday","REPLACE",P2)</f>
        <v>REPLACE</v>
      </c>
      <c r="R2" s="7" t="str">
        <f>IF(Q2="Saturday","REPLACE",Q2)</f>
        <v>REPLACE</v>
      </c>
      <c r="S2" s="7" t="str">
        <f>IF(R2="Sunday","REPLACE",R2)</f>
        <v>REPLACE</v>
      </c>
      <c r="T2" s="7" t="str">
        <f>IF(S2="LIVE","REPLACE",S2)</f>
        <v>REPLACE</v>
      </c>
      <c r="U2" s="7" t="str">
        <f>IF(T2="Today","REPLACE",T2)</f>
        <v>REPLACE</v>
      </c>
      <c r="V2" s="7" t="str">
        <f ca="1">IF(U2="REPLACE",K2,U2)</f>
        <v>04/07/2015</v>
      </c>
    </row>
    <row r="3" spans="1:27">
      <c r="A3" s="68" t="str">
        <f>IF(Bug!F2="","",Bug!F2)</f>
        <v>Tuesday</v>
      </c>
      <c r="B3" s="68" t="str">
        <f t="shared" ref="B3:B61" ca="1" si="0">IF(ISNUMBER(SEARCH("Monday",A3)),(2-WEEKDAY(TODAY())+TODAY()), A3)</f>
        <v>Tuesday</v>
      </c>
      <c r="C3" s="68">
        <f t="shared" ref="C3:C61" ca="1" si="1">IF(ISNUMBER(SEARCH("Tuesday",B3)),(3-WEEKDAY(TODAY())+TODAY()), B3)</f>
        <v>42101</v>
      </c>
      <c r="D3" s="68">
        <f t="shared" ref="D3:D61" ca="1" si="2">IF(ISNUMBER(SEARCH("Wednesday",C3)),(4-WEEKDAY(TODAY())+TODAY()), C3)</f>
        <v>42101</v>
      </c>
      <c r="E3" s="68">
        <f t="shared" ref="E3:E61" ca="1" si="3">IF(ISNUMBER(SEARCH("Thursday",D3)),(5-WEEKDAY(TODAY())+TODAY()), D3)</f>
        <v>42101</v>
      </c>
      <c r="F3" s="68">
        <f t="shared" ref="F3:F61" ca="1" si="4">IF(ISNUMBER(SEARCH("Friday",E3)),(6-WEEKDAY(TODAY())+TODAY()), E3)</f>
        <v>42101</v>
      </c>
      <c r="G3" s="68">
        <f t="shared" ref="G3:G61" ca="1" si="5">IF(ISNUMBER(SEARCH("Saturday",F3)),(7-WEEKDAY(TODAY())+TODAY()), F3)</f>
        <v>42101</v>
      </c>
      <c r="H3" s="68">
        <f t="shared" ref="H3:H61" ca="1" si="6">IF(ISNUMBER(SEARCH("Sunday",G3)),(1-WEEKDAY(TODAY())+TODAY()), G3)</f>
        <v>42101</v>
      </c>
      <c r="I3" s="68">
        <f ca="1">IF(ISNUMBER(SEARCH("LIVE",H3)),Sheet2!E4, G3)</f>
        <v>42101</v>
      </c>
      <c r="J3" s="68">
        <f ca="1">IF(ISNUMBER(SEARCH("Today",I3)),Sheet2!I3, I3)</f>
        <v>42101</v>
      </c>
      <c r="K3" s="7" t="str">
        <f t="shared" ref="K3:K40" ca="1" si="7">TEXT(J3, "mm/dd/yyyy")</f>
        <v>04/07/2015</v>
      </c>
      <c r="L3" s="7" t="str">
        <f t="shared" ref="L3:L61" ca="1" si="8">IF(A3="Tuesday",K3,A3)</f>
        <v>04/07/2015</v>
      </c>
      <c r="M3" s="7" t="str">
        <f t="shared" ref="M3:M61" si="9">IF(A3="Monday","REPLACE",A3)</f>
        <v>Tuesday</v>
      </c>
      <c r="N3" s="7" t="str">
        <f t="shared" ref="N3:N61" si="10">IF(M3="Tuesday","REPLACE",M3)</f>
        <v>REPLACE</v>
      </c>
      <c r="O3" s="7" t="str">
        <f t="shared" ref="O3:O61" si="11">IF(N3="Wednesday","REPLACE",N3)</f>
        <v>REPLACE</v>
      </c>
      <c r="P3" s="7" t="str">
        <f t="shared" ref="P3:P61" si="12">IF(O3="Thursday","REPLACE",O3)</f>
        <v>REPLACE</v>
      </c>
      <c r="Q3" s="7" t="str">
        <f t="shared" ref="Q3:Q61" si="13">IF(P3="Friday","REPLACE",P3)</f>
        <v>REPLACE</v>
      </c>
      <c r="R3" s="7" t="str">
        <f t="shared" ref="R3:R61" si="14">IF(Q3="Saturday","REPLACE",Q3)</f>
        <v>REPLACE</v>
      </c>
      <c r="S3" s="7" t="str">
        <f t="shared" ref="S3:S61" si="15">IF(R3="Sunday","REPLACE",R3)</f>
        <v>REPLACE</v>
      </c>
      <c r="T3" s="7" t="str">
        <f t="shared" ref="T3:T40" si="16">IF(S3="LIVE","REPLACE",S3)</f>
        <v>REPLACE</v>
      </c>
      <c r="U3" s="7" t="str">
        <f t="shared" ref="U3:U62" si="17">IF(T3="Today","REPLACE",T3)</f>
        <v>REPLACE</v>
      </c>
      <c r="V3" s="7" t="str">
        <f t="shared" ref="V3:V61" ca="1" si="18">IF(U3="REPLACE",K3,U3)</f>
        <v>04/07/2015</v>
      </c>
    </row>
    <row r="4" spans="1:27">
      <c r="A4" s="68" t="str">
        <f>IF(Bug!F3="","",Bug!F3)</f>
        <v>Wednesday</v>
      </c>
      <c r="B4" s="68" t="str">
        <f t="shared" ca="1" si="0"/>
        <v>Wednesday</v>
      </c>
      <c r="C4" s="68" t="str">
        <f t="shared" ca="1" si="1"/>
        <v>Wednesday</v>
      </c>
      <c r="D4" s="68">
        <f t="shared" ca="1" si="2"/>
        <v>42102</v>
      </c>
      <c r="E4" s="68">
        <f t="shared" ca="1" si="3"/>
        <v>42102</v>
      </c>
      <c r="F4" s="68">
        <f t="shared" ca="1" si="4"/>
        <v>42102</v>
      </c>
      <c r="G4" s="68">
        <f t="shared" ca="1" si="5"/>
        <v>42102</v>
      </c>
      <c r="H4" s="68">
        <f t="shared" ca="1" si="6"/>
        <v>42102</v>
      </c>
      <c r="I4" s="68">
        <f ca="1">IF(ISNUMBER(SEARCH("LIVE",H4)),Sheet2!E5, G4)</f>
        <v>42102</v>
      </c>
      <c r="J4" s="68">
        <f ca="1">IF(ISNUMBER(SEARCH("Today",I4)),Sheet2!I4, I4)</f>
        <v>42102</v>
      </c>
      <c r="K4" s="7" t="str">
        <f t="shared" ca="1" si="7"/>
        <v>04/08/2015</v>
      </c>
      <c r="L4" s="7" t="str">
        <f t="shared" si="8"/>
        <v>Wednesday</v>
      </c>
      <c r="M4" s="7" t="str">
        <f t="shared" si="9"/>
        <v>Wednesday</v>
      </c>
      <c r="N4" s="7" t="str">
        <f t="shared" si="10"/>
        <v>Wednesday</v>
      </c>
      <c r="O4" s="7" t="str">
        <f t="shared" si="11"/>
        <v>REPLACE</v>
      </c>
      <c r="P4" s="7" t="str">
        <f t="shared" si="12"/>
        <v>REPLACE</v>
      </c>
      <c r="Q4" s="7" t="str">
        <f t="shared" si="13"/>
        <v>REPLACE</v>
      </c>
      <c r="R4" s="7" t="str">
        <f t="shared" si="14"/>
        <v>REPLACE</v>
      </c>
      <c r="S4" s="7" t="str">
        <f t="shared" si="15"/>
        <v>REPLACE</v>
      </c>
      <c r="T4" s="7" t="str">
        <f t="shared" si="16"/>
        <v>REPLACE</v>
      </c>
      <c r="U4" s="7" t="str">
        <f t="shared" si="17"/>
        <v>REPLACE</v>
      </c>
      <c r="V4" s="7" t="str">
        <f t="shared" ca="1" si="18"/>
        <v>04/08/2015</v>
      </c>
    </row>
    <row r="5" spans="1:27">
      <c r="A5" s="68" t="str">
        <f>IF(Bug!F4="","",Bug!F4)</f>
        <v>Wednesday</v>
      </c>
      <c r="B5" s="68" t="str">
        <f t="shared" ca="1" si="0"/>
        <v>Wednesday</v>
      </c>
      <c r="C5" s="68" t="str">
        <f t="shared" ca="1" si="1"/>
        <v>Wednesday</v>
      </c>
      <c r="D5" s="68">
        <f t="shared" ca="1" si="2"/>
        <v>42102</v>
      </c>
      <c r="E5" s="68">
        <f t="shared" ca="1" si="3"/>
        <v>42102</v>
      </c>
      <c r="F5" s="68">
        <f t="shared" ca="1" si="4"/>
        <v>42102</v>
      </c>
      <c r="G5" s="68">
        <f t="shared" ca="1" si="5"/>
        <v>42102</v>
      </c>
      <c r="H5" s="68">
        <f t="shared" ca="1" si="6"/>
        <v>42102</v>
      </c>
      <c r="I5" s="68">
        <f ca="1">IF(ISNUMBER(SEARCH("LIVE",H5)),Sheet2!E6, G5)</f>
        <v>42102</v>
      </c>
      <c r="J5" s="68">
        <f ca="1">IF(ISNUMBER(SEARCH("Today",I5)),Sheet2!I5, I5)</f>
        <v>42102</v>
      </c>
      <c r="K5" s="7" t="str">
        <f t="shared" ca="1" si="7"/>
        <v>04/08/2015</v>
      </c>
      <c r="L5" s="7" t="str">
        <f t="shared" si="8"/>
        <v>Wednesday</v>
      </c>
      <c r="M5" s="7" t="str">
        <f t="shared" si="9"/>
        <v>Wednesday</v>
      </c>
      <c r="N5" s="7" t="str">
        <f t="shared" si="10"/>
        <v>Wednesday</v>
      </c>
      <c r="O5" s="7" t="str">
        <f t="shared" si="11"/>
        <v>REPLACE</v>
      </c>
      <c r="P5" s="7" t="str">
        <f t="shared" si="12"/>
        <v>REPLACE</v>
      </c>
      <c r="Q5" s="7" t="str">
        <f t="shared" si="13"/>
        <v>REPLACE</v>
      </c>
      <c r="R5" s="7" t="str">
        <f t="shared" si="14"/>
        <v>REPLACE</v>
      </c>
      <c r="S5" s="7" t="str">
        <f t="shared" si="15"/>
        <v>REPLACE</v>
      </c>
      <c r="T5" s="7" t="str">
        <f t="shared" si="16"/>
        <v>REPLACE</v>
      </c>
      <c r="U5" s="7" t="str">
        <f t="shared" si="17"/>
        <v>REPLACE</v>
      </c>
      <c r="V5" s="7" t="str">
        <f t="shared" ca="1" si="18"/>
        <v>04/08/2015</v>
      </c>
    </row>
    <row r="6" spans="1:27">
      <c r="A6" s="68" t="str">
        <f>IF(Bug!F5="","",Bug!F5)</f>
        <v>Tuesday</v>
      </c>
      <c r="B6" s="68" t="str">
        <f t="shared" ca="1" si="0"/>
        <v>Tuesday</v>
      </c>
      <c r="C6" s="68">
        <f t="shared" ca="1" si="1"/>
        <v>42101</v>
      </c>
      <c r="D6" s="68">
        <f t="shared" ca="1" si="2"/>
        <v>42101</v>
      </c>
      <c r="E6" s="68">
        <f t="shared" ca="1" si="3"/>
        <v>42101</v>
      </c>
      <c r="F6" s="68">
        <f t="shared" ca="1" si="4"/>
        <v>42101</v>
      </c>
      <c r="G6" s="68">
        <f t="shared" ca="1" si="5"/>
        <v>42101</v>
      </c>
      <c r="H6" s="68">
        <f t="shared" ca="1" si="6"/>
        <v>42101</v>
      </c>
      <c r="I6" s="68">
        <f ca="1">IF(ISNUMBER(SEARCH("LIVE",H6)),Sheet2!E7, G6)</f>
        <v>42101</v>
      </c>
      <c r="J6" s="68">
        <f ca="1">IF(ISNUMBER(SEARCH("Today",I6)),Sheet2!I6, I6)</f>
        <v>42101</v>
      </c>
      <c r="K6" s="7" t="str">
        <f t="shared" ca="1" si="7"/>
        <v>04/07/2015</v>
      </c>
      <c r="L6" s="7" t="str">
        <f t="shared" ca="1" si="8"/>
        <v>04/07/2015</v>
      </c>
      <c r="M6" s="7" t="str">
        <f t="shared" si="9"/>
        <v>Tuesday</v>
      </c>
      <c r="N6" s="7" t="str">
        <f t="shared" si="10"/>
        <v>REPLACE</v>
      </c>
      <c r="O6" s="7" t="str">
        <f t="shared" si="11"/>
        <v>REPLACE</v>
      </c>
      <c r="P6" s="7" t="str">
        <f t="shared" si="12"/>
        <v>REPLACE</v>
      </c>
      <c r="Q6" s="7" t="str">
        <f t="shared" si="13"/>
        <v>REPLACE</v>
      </c>
      <c r="R6" s="7" t="str">
        <f t="shared" si="14"/>
        <v>REPLACE</v>
      </c>
      <c r="S6" s="7" t="str">
        <f t="shared" si="15"/>
        <v>REPLACE</v>
      </c>
      <c r="T6" s="7" t="str">
        <f t="shared" si="16"/>
        <v>REPLACE</v>
      </c>
      <c r="U6" s="7" t="str">
        <f t="shared" si="17"/>
        <v>REPLACE</v>
      </c>
      <c r="V6" s="7" t="str">
        <f t="shared" ca="1" si="18"/>
        <v>04/07/2015</v>
      </c>
    </row>
    <row r="7" spans="1:27">
      <c r="A7" s="68" t="str">
        <f>IF(Bug!F6="","",Bug!F6)</f>
        <v>Monday</v>
      </c>
      <c r="B7" s="68">
        <f t="shared" ca="1" si="0"/>
        <v>42100</v>
      </c>
      <c r="C7" s="68">
        <f t="shared" ca="1" si="1"/>
        <v>42100</v>
      </c>
      <c r="D7" s="68">
        <f t="shared" ca="1" si="2"/>
        <v>42100</v>
      </c>
      <c r="E7" s="68">
        <f t="shared" ca="1" si="3"/>
        <v>42100</v>
      </c>
      <c r="F7" s="68">
        <f t="shared" ca="1" si="4"/>
        <v>42100</v>
      </c>
      <c r="G7" s="68">
        <f t="shared" ca="1" si="5"/>
        <v>42100</v>
      </c>
      <c r="H7" s="68">
        <f ca="1">IF(ISNUMBER(SEARCH("Sunday",G7)),(1-WEEKDAY(TODAY())+TODAY()), G7)</f>
        <v>42100</v>
      </c>
      <c r="I7" s="68">
        <f ca="1">IF(ISNUMBER(SEARCH("LIVE",H7)),Sheet2!E8, G7)</f>
        <v>42100</v>
      </c>
      <c r="J7" s="68">
        <f ca="1">IF(ISNUMBER(SEARCH("Today",I7)),Sheet2!I7, I7)</f>
        <v>42100</v>
      </c>
      <c r="K7" s="7" t="str">
        <f t="shared" ca="1" si="7"/>
        <v>04/06/2015</v>
      </c>
      <c r="L7" s="7" t="str">
        <f t="shared" si="8"/>
        <v>Monday</v>
      </c>
      <c r="M7" s="7" t="str">
        <f t="shared" si="9"/>
        <v>REPLACE</v>
      </c>
      <c r="N7" s="7" t="str">
        <f t="shared" si="10"/>
        <v>REPLACE</v>
      </c>
      <c r="O7" s="7" t="str">
        <f t="shared" si="11"/>
        <v>REPLACE</v>
      </c>
      <c r="P7" s="7" t="str">
        <f t="shared" si="12"/>
        <v>REPLACE</v>
      </c>
      <c r="Q7" s="7" t="str">
        <f t="shared" si="13"/>
        <v>REPLACE</v>
      </c>
      <c r="R7" s="7" t="str">
        <f t="shared" si="14"/>
        <v>REPLACE</v>
      </c>
      <c r="S7" s="7" t="str">
        <f t="shared" si="15"/>
        <v>REPLACE</v>
      </c>
      <c r="T7" s="7" t="str">
        <f t="shared" si="16"/>
        <v>REPLACE</v>
      </c>
      <c r="U7" s="7" t="str">
        <f t="shared" si="17"/>
        <v>REPLACE</v>
      </c>
      <c r="V7" s="7" t="str">
        <f t="shared" ca="1" si="18"/>
        <v>04/06/2015</v>
      </c>
    </row>
    <row r="8" spans="1:27">
      <c r="A8" s="68" t="str">
        <f>IF(Bug!F7="","",Bug!F7)</f>
        <v>Tuesday</v>
      </c>
      <c r="B8" s="68" t="str">
        <f t="shared" ca="1" si="0"/>
        <v>Tuesday</v>
      </c>
      <c r="C8" s="68">
        <f t="shared" ca="1" si="1"/>
        <v>42101</v>
      </c>
      <c r="D8" s="68">
        <f t="shared" ca="1" si="2"/>
        <v>42101</v>
      </c>
      <c r="E8" s="68">
        <f t="shared" ca="1" si="3"/>
        <v>42101</v>
      </c>
      <c r="F8" s="68">
        <f t="shared" ca="1" si="4"/>
        <v>42101</v>
      </c>
      <c r="G8" s="68">
        <f t="shared" ca="1" si="5"/>
        <v>42101</v>
      </c>
      <c r="H8" s="68">
        <f t="shared" ca="1" si="6"/>
        <v>42101</v>
      </c>
      <c r="I8" s="68">
        <f ca="1">IF(ISNUMBER(SEARCH("LIVE",H8)),Sheet2!E9, G8)</f>
        <v>42101</v>
      </c>
      <c r="J8" s="68">
        <f ca="1">IF(ISNUMBER(SEARCH("Today",I8)),Sheet2!I8, I8)</f>
        <v>42101</v>
      </c>
      <c r="K8" s="7" t="str">
        <f t="shared" ca="1" si="7"/>
        <v>04/07/2015</v>
      </c>
      <c r="L8" s="7" t="str">
        <f t="shared" ca="1" si="8"/>
        <v>04/07/2015</v>
      </c>
      <c r="M8" s="7" t="str">
        <f t="shared" si="9"/>
        <v>Tuesday</v>
      </c>
      <c r="N8" s="7" t="str">
        <f t="shared" si="10"/>
        <v>REPLACE</v>
      </c>
      <c r="O8" s="7" t="str">
        <f t="shared" si="11"/>
        <v>REPLACE</v>
      </c>
      <c r="P8" s="7" t="str">
        <f t="shared" si="12"/>
        <v>REPLACE</v>
      </c>
      <c r="Q8" s="7" t="str">
        <f t="shared" si="13"/>
        <v>REPLACE</v>
      </c>
      <c r="R8" s="7" t="str">
        <f t="shared" si="14"/>
        <v>REPLACE</v>
      </c>
      <c r="S8" s="7" t="str">
        <f t="shared" si="15"/>
        <v>REPLACE</v>
      </c>
      <c r="T8" s="7" t="str">
        <f t="shared" si="16"/>
        <v>REPLACE</v>
      </c>
      <c r="U8" s="7" t="str">
        <f t="shared" si="17"/>
        <v>REPLACE</v>
      </c>
      <c r="V8" s="7" t="str">
        <f t="shared" ca="1" si="18"/>
        <v>04/07/2015</v>
      </c>
    </row>
    <row r="9" spans="1:27">
      <c r="A9" s="68" t="str">
        <f>IF(Bug!F8="","",Bug!F8)</f>
        <v>Wednesday</v>
      </c>
      <c r="B9" s="68" t="str">
        <f t="shared" ca="1" si="0"/>
        <v>Wednesday</v>
      </c>
      <c r="C9" s="68" t="str">
        <f t="shared" ca="1" si="1"/>
        <v>Wednesday</v>
      </c>
      <c r="D9" s="68">
        <f t="shared" ca="1" si="2"/>
        <v>42102</v>
      </c>
      <c r="E9" s="68">
        <f t="shared" ca="1" si="3"/>
        <v>42102</v>
      </c>
      <c r="F9" s="68">
        <f t="shared" ca="1" si="4"/>
        <v>42102</v>
      </c>
      <c r="G9" s="68">
        <f t="shared" ca="1" si="5"/>
        <v>42102</v>
      </c>
      <c r="H9" s="68">
        <f t="shared" ca="1" si="6"/>
        <v>42102</v>
      </c>
      <c r="I9" s="68">
        <f ca="1">IF(ISNUMBER(SEARCH("LIVE",H9)),Sheet2!E10, G9)</f>
        <v>42102</v>
      </c>
      <c r="J9" s="68">
        <f ca="1">IF(ISNUMBER(SEARCH("Today",I9)),Sheet2!I9, I9)</f>
        <v>42102</v>
      </c>
      <c r="K9" s="7" t="str">
        <f t="shared" ca="1" si="7"/>
        <v>04/08/2015</v>
      </c>
      <c r="L9" s="7" t="str">
        <f t="shared" si="8"/>
        <v>Wednesday</v>
      </c>
      <c r="M9" s="7" t="str">
        <f t="shared" si="9"/>
        <v>Wednesday</v>
      </c>
      <c r="N9" s="7" t="str">
        <f t="shared" si="10"/>
        <v>Wednesday</v>
      </c>
      <c r="O9" s="7" t="str">
        <f t="shared" si="11"/>
        <v>REPLACE</v>
      </c>
      <c r="P9" s="7" t="str">
        <f t="shared" si="12"/>
        <v>REPLACE</v>
      </c>
      <c r="Q9" s="7" t="str">
        <f t="shared" si="13"/>
        <v>REPLACE</v>
      </c>
      <c r="R9" s="7" t="str">
        <f t="shared" si="14"/>
        <v>REPLACE</v>
      </c>
      <c r="S9" s="7" t="str">
        <f t="shared" si="15"/>
        <v>REPLACE</v>
      </c>
      <c r="T9" s="7" t="str">
        <f t="shared" si="16"/>
        <v>REPLACE</v>
      </c>
      <c r="U9" s="7" t="str">
        <f t="shared" si="17"/>
        <v>REPLACE</v>
      </c>
      <c r="V9" s="7" t="str">
        <f t="shared" ca="1" si="18"/>
        <v>04/08/2015</v>
      </c>
      <c r="AA9" s="7" t="str">
        <f>IF(Z9="",[1]Code!H9,Z9)</f>
        <v/>
      </c>
    </row>
    <row r="10" spans="1:27">
      <c r="A10" s="68" t="str">
        <f>IF(Bug!F9="","",Bug!F9)</f>
        <v>Thursday</v>
      </c>
      <c r="B10" s="68" t="str">
        <f t="shared" ca="1" si="0"/>
        <v>Thursday</v>
      </c>
      <c r="C10" s="68" t="str">
        <f t="shared" ca="1" si="1"/>
        <v>Thursday</v>
      </c>
      <c r="D10" s="68" t="str">
        <f t="shared" ca="1" si="2"/>
        <v>Thursday</v>
      </c>
      <c r="E10" s="68">
        <f t="shared" ca="1" si="3"/>
        <v>42103</v>
      </c>
      <c r="F10" s="68">
        <f t="shared" ca="1" si="4"/>
        <v>42103</v>
      </c>
      <c r="G10" s="68">
        <f t="shared" ca="1" si="5"/>
        <v>42103</v>
      </c>
      <c r="H10" s="68">
        <f t="shared" ca="1" si="6"/>
        <v>42103</v>
      </c>
      <c r="I10" s="68">
        <f ca="1">IF(ISNUMBER(SEARCH("LIVE",H10)),Sheet2!E11, G10)</f>
        <v>42103</v>
      </c>
      <c r="J10" s="68">
        <f ca="1">IF(ISNUMBER(SEARCH("Today",I10)),Sheet2!I10, I10)</f>
        <v>42103</v>
      </c>
      <c r="K10" s="7" t="str">
        <f t="shared" ca="1" si="7"/>
        <v>04/09/2015</v>
      </c>
      <c r="L10" s="7" t="str">
        <f t="shared" si="8"/>
        <v>Thursday</v>
      </c>
      <c r="M10" s="7" t="str">
        <f t="shared" si="9"/>
        <v>Thursday</v>
      </c>
      <c r="N10" s="7" t="str">
        <f t="shared" si="10"/>
        <v>Thursday</v>
      </c>
      <c r="O10" s="7" t="str">
        <f t="shared" si="11"/>
        <v>Thursday</v>
      </c>
      <c r="P10" s="7" t="str">
        <f t="shared" si="12"/>
        <v>REPLACE</v>
      </c>
      <c r="Q10" s="7" t="str">
        <f t="shared" si="13"/>
        <v>REPLACE</v>
      </c>
      <c r="R10" s="7" t="str">
        <f t="shared" si="14"/>
        <v>REPLACE</v>
      </c>
      <c r="S10" s="7" t="str">
        <f t="shared" si="15"/>
        <v>REPLACE</v>
      </c>
      <c r="T10" s="7" t="str">
        <f t="shared" si="16"/>
        <v>REPLACE</v>
      </c>
      <c r="U10" s="7" t="str">
        <f t="shared" si="17"/>
        <v>REPLACE</v>
      </c>
      <c r="V10" s="7" t="str">
        <f t="shared" ca="1" si="18"/>
        <v>04/09/2015</v>
      </c>
      <c r="AA10" s="7" t="str">
        <f>IF(Z10="",[1]Code!H10,Z10)</f>
        <v/>
      </c>
    </row>
    <row r="11" spans="1:27">
      <c r="A11" s="68" t="str">
        <f>IF(Bug!F10="","",Bug!F10)</f>
        <v/>
      </c>
      <c r="B11" s="68" t="str">
        <f t="shared" ca="1" si="0"/>
        <v/>
      </c>
      <c r="C11" s="68" t="str">
        <f t="shared" ca="1" si="1"/>
        <v/>
      </c>
      <c r="D11" s="68" t="str">
        <f t="shared" ca="1" si="2"/>
        <v/>
      </c>
      <c r="E11" s="68" t="str">
        <f t="shared" ca="1" si="3"/>
        <v/>
      </c>
      <c r="F11" s="68" t="str">
        <f t="shared" ca="1" si="4"/>
        <v/>
      </c>
      <c r="G11" s="68" t="str">
        <f t="shared" ca="1" si="5"/>
        <v/>
      </c>
      <c r="H11" s="68" t="str">
        <f t="shared" ca="1" si="6"/>
        <v/>
      </c>
      <c r="I11" s="68" t="str">
        <f ca="1">IF(ISNUMBER(SEARCH("LIVE",H11)),Sheet2!E12, G11)</f>
        <v/>
      </c>
      <c r="J11" s="68" t="str">
        <f ca="1">IF(ISNUMBER(SEARCH("Today",I11)),Sheet2!I11, I11)</f>
        <v/>
      </c>
      <c r="K11" s="7" t="str">
        <f t="shared" ca="1" si="7"/>
        <v/>
      </c>
      <c r="L11" s="7" t="str">
        <f t="shared" si="8"/>
        <v/>
      </c>
      <c r="M11" s="7" t="str">
        <f t="shared" si="9"/>
        <v/>
      </c>
      <c r="N11" s="7" t="str">
        <f t="shared" si="10"/>
        <v/>
      </c>
      <c r="O11" s="7" t="str">
        <f t="shared" si="11"/>
        <v/>
      </c>
      <c r="P11" s="7" t="str">
        <f t="shared" si="12"/>
        <v/>
      </c>
      <c r="Q11" s="7" t="str">
        <f t="shared" si="13"/>
        <v/>
      </c>
      <c r="R11" s="7" t="str">
        <f t="shared" si="14"/>
        <v/>
      </c>
      <c r="S11" s="7" t="str">
        <f t="shared" si="15"/>
        <v/>
      </c>
      <c r="T11" s="7" t="str">
        <f t="shared" si="16"/>
        <v/>
      </c>
      <c r="U11" s="7" t="str">
        <f t="shared" si="17"/>
        <v/>
      </c>
      <c r="V11" s="7" t="str">
        <f t="shared" si="18"/>
        <v/>
      </c>
      <c r="AA11" s="7" t="str">
        <f>IF(Z11="",[1]Code!H11,Z11)</f>
        <v/>
      </c>
    </row>
    <row r="12" spans="1:27">
      <c r="A12" s="68" t="str">
        <f>IF(Bug!F11="","",Bug!F11)</f>
        <v/>
      </c>
      <c r="B12" s="68" t="str">
        <f t="shared" ca="1" si="0"/>
        <v/>
      </c>
      <c r="C12" s="68" t="str">
        <f t="shared" ca="1" si="1"/>
        <v/>
      </c>
      <c r="D12" s="68" t="str">
        <f t="shared" ca="1" si="2"/>
        <v/>
      </c>
      <c r="E12" s="68" t="str">
        <f t="shared" ca="1" si="3"/>
        <v/>
      </c>
      <c r="F12" s="68" t="str">
        <f t="shared" ca="1" si="4"/>
        <v/>
      </c>
      <c r="G12" s="68" t="str">
        <f t="shared" ca="1" si="5"/>
        <v/>
      </c>
      <c r="H12" s="68" t="str">
        <f t="shared" ca="1" si="6"/>
        <v/>
      </c>
      <c r="I12" s="68" t="str">
        <f ca="1">IF(ISNUMBER(SEARCH("LIVE",H12)),Sheet2!E13, G12)</f>
        <v/>
      </c>
      <c r="J12" s="68" t="str">
        <f ca="1">IF(ISNUMBER(SEARCH("Today",I12)),Sheet2!I12, I12)</f>
        <v/>
      </c>
      <c r="K12" s="7" t="str">
        <f t="shared" ca="1" si="7"/>
        <v/>
      </c>
      <c r="L12" s="7" t="str">
        <f t="shared" si="8"/>
        <v/>
      </c>
      <c r="M12" s="7" t="str">
        <f t="shared" si="9"/>
        <v/>
      </c>
      <c r="N12" s="7" t="str">
        <f t="shared" si="10"/>
        <v/>
      </c>
      <c r="O12" s="7" t="str">
        <f t="shared" si="11"/>
        <v/>
      </c>
      <c r="P12" s="7" t="str">
        <f t="shared" si="12"/>
        <v/>
      </c>
      <c r="Q12" s="7" t="str">
        <f t="shared" si="13"/>
        <v/>
      </c>
      <c r="R12" s="7" t="str">
        <f t="shared" si="14"/>
        <v/>
      </c>
      <c r="S12" s="7" t="str">
        <f t="shared" si="15"/>
        <v/>
      </c>
      <c r="T12" s="7" t="str">
        <f t="shared" si="16"/>
        <v/>
      </c>
      <c r="U12" s="7" t="str">
        <f t="shared" si="17"/>
        <v/>
      </c>
      <c r="V12" s="7" t="str">
        <f t="shared" si="18"/>
        <v/>
      </c>
      <c r="AA12" s="7" t="str">
        <f>IF(Z12="",[1]Code!H12,Z12)</f>
        <v/>
      </c>
    </row>
    <row r="13" spans="1:27">
      <c r="A13" s="68" t="str">
        <f>IF(Bug!F12="","",Bug!F12)</f>
        <v/>
      </c>
      <c r="B13" s="68" t="str">
        <f t="shared" ca="1" si="0"/>
        <v/>
      </c>
      <c r="C13" s="68" t="str">
        <f t="shared" ca="1" si="1"/>
        <v/>
      </c>
      <c r="D13" s="68" t="str">
        <f t="shared" ca="1" si="2"/>
        <v/>
      </c>
      <c r="E13" s="68" t="str">
        <f t="shared" ca="1" si="3"/>
        <v/>
      </c>
      <c r="F13" s="68" t="str">
        <f t="shared" ca="1" si="4"/>
        <v/>
      </c>
      <c r="G13" s="68" t="str">
        <f t="shared" ca="1" si="5"/>
        <v/>
      </c>
      <c r="H13" s="68" t="str">
        <f t="shared" ca="1" si="6"/>
        <v/>
      </c>
      <c r="I13" s="68" t="str">
        <f ca="1">IF(ISNUMBER(SEARCH("LIVE",H13)),Sheet2!E14, G13)</f>
        <v/>
      </c>
      <c r="J13" s="68" t="str">
        <f ca="1">IF(ISNUMBER(SEARCH("Today",I13)),Sheet2!I13, I13)</f>
        <v/>
      </c>
      <c r="K13" s="7" t="str">
        <f t="shared" ca="1" si="7"/>
        <v/>
      </c>
      <c r="L13" s="7" t="str">
        <f t="shared" si="8"/>
        <v/>
      </c>
      <c r="M13" s="7" t="str">
        <f t="shared" si="9"/>
        <v/>
      </c>
      <c r="N13" s="7" t="str">
        <f t="shared" si="10"/>
        <v/>
      </c>
      <c r="O13" s="7" t="str">
        <f t="shared" si="11"/>
        <v/>
      </c>
      <c r="P13" s="7" t="str">
        <f t="shared" si="12"/>
        <v/>
      </c>
      <c r="Q13" s="7" t="str">
        <f t="shared" si="13"/>
        <v/>
      </c>
      <c r="R13" s="7" t="str">
        <f t="shared" si="14"/>
        <v/>
      </c>
      <c r="S13" s="7" t="str">
        <f t="shared" si="15"/>
        <v/>
      </c>
      <c r="T13" s="7" t="str">
        <f t="shared" si="16"/>
        <v/>
      </c>
      <c r="U13" s="7" t="str">
        <f t="shared" si="17"/>
        <v/>
      </c>
      <c r="V13" s="7" t="str">
        <f t="shared" si="18"/>
        <v/>
      </c>
      <c r="AA13" s="7" t="str">
        <f>IF(Z13="",[1]Code!H13,Z13)</f>
        <v/>
      </c>
    </row>
    <row r="14" spans="1:27">
      <c r="A14" s="68" t="str">
        <f>IF(Bug!F13="","",Bug!F13)</f>
        <v/>
      </c>
      <c r="B14" s="68" t="str">
        <f t="shared" ca="1" si="0"/>
        <v/>
      </c>
      <c r="C14" s="68" t="str">
        <f t="shared" ca="1" si="1"/>
        <v/>
      </c>
      <c r="D14" s="68" t="str">
        <f t="shared" ca="1" si="2"/>
        <v/>
      </c>
      <c r="E14" s="68" t="str">
        <f t="shared" ca="1" si="3"/>
        <v/>
      </c>
      <c r="F14" s="68" t="str">
        <f t="shared" ca="1" si="4"/>
        <v/>
      </c>
      <c r="G14" s="68" t="str">
        <f t="shared" ca="1" si="5"/>
        <v/>
      </c>
      <c r="H14" s="68" t="str">
        <f t="shared" ca="1" si="6"/>
        <v/>
      </c>
      <c r="I14" s="68" t="str">
        <f ca="1">IF(ISNUMBER(SEARCH("LIVE",H14)),Sheet2!E15, G14)</f>
        <v/>
      </c>
      <c r="J14" s="68" t="str">
        <f ca="1">IF(ISNUMBER(SEARCH("Today",I14)),Sheet2!I14, I14)</f>
        <v/>
      </c>
      <c r="K14" s="7" t="str">
        <f t="shared" ca="1" si="7"/>
        <v/>
      </c>
      <c r="L14" s="7" t="str">
        <f t="shared" si="8"/>
        <v/>
      </c>
      <c r="M14" s="7" t="str">
        <f t="shared" si="9"/>
        <v/>
      </c>
      <c r="N14" s="7" t="str">
        <f t="shared" si="10"/>
        <v/>
      </c>
      <c r="O14" s="7" t="str">
        <f t="shared" si="11"/>
        <v/>
      </c>
      <c r="P14" s="7" t="str">
        <f t="shared" si="12"/>
        <v/>
      </c>
      <c r="Q14" s="7" t="str">
        <f t="shared" si="13"/>
        <v/>
      </c>
      <c r="R14" s="7" t="str">
        <f t="shared" si="14"/>
        <v/>
      </c>
      <c r="S14" s="7" t="str">
        <f t="shared" si="15"/>
        <v/>
      </c>
      <c r="T14" s="7" t="str">
        <f t="shared" si="16"/>
        <v/>
      </c>
      <c r="U14" s="7" t="str">
        <f t="shared" si="17"/>
        <v/>
      </c>
      <c r="V14" s="7" t="str">
        <f t="shared" si="18"/>
        <v/>
      </c>
      <c r="AA14" s="7" t="str">
        <f>IF(Z14="",[1]Code!H14,Z14)</f>
        <v/>
      </c>
    </row>
    <row r="15" spans="1:27">
      <c r="A15" s="68" t="str">
        <f>IF(Bug!F14="","",Bug!F14)</f>
        <v/>
      </c>
      <c r="B15" s="68" t="str">
        <f t="shared" ca="1" si="0"/>
        <v/>
      </c>
      <c r="C15" s="68" t="str">
        <f t="shared" ca="1" si="1"/>
        <v/>
      </c>
      <c r="D15" s="68" t="str">
        <f t="shared" ca="1" si="2"/>
        <v/>
      </c>
      <c r="E15" s="68" t="str">
        <f t="shared" ca="1" si="3"/>
        <v/>
      </c>
      <c r="F15" s="68" t="str">
        <f t="shared" ca="1" si="4"/>
        <v/>
      </c>
      <c r="G15" s="68" t="str">
        <f t="shared" ca="1" si="5"/>
        <v/>
      </c>
      <c r="H15" s="68" t="str">
        <f t="shared" ca="1" si="6"/>
        <v/>
      </c>
      <c r="I15" s="68" t="str">
        <f ca="1">IF(ISNUMBER(SEARCH("LIVE",H15)),Sheet2!E16, G15)</f>
        <v/>
      </c>
      <c r="J15" s="68" t="str">
        <f ca="1">IF(ISNUMBER(SEARCH("Today",I15)),Sheet2!I15, I15)</f>
        <v/>
      </c>
      <c r="K15" s="7" t="str">
        <f t="shared" ca="1" si="7"/>
        <v/>
      </c>
      <c r="L15" s="7" t="str">
        <f t="shared" si="8"/>
        <v/>
      </c>
      <c r="M15" s="7" t="str">
        <f t="shared" si="9"/>
        <v/>
      </c>
      <c r="N15" s="7" t="str">
        <f t="shared" si="10"/>
        <v/>
      </c>
      <c r="O15" s="7" t="str">
        <f t="shared" si="11"/>
        <v/>
      </c>
      <c r="P15" s="7" t="str">
        <f t="shared" si="12"/>
        <v/>
      </c>
      <c r="Q15" s="7" t="str">
        <f t="shared" si="13"/>
        <v/>
      </c>
      <c r="R15" s="7" t="str">
        <f t="shared" si="14"/>
        <v/>
      </c>
      <c r="S15" s="7" t="str">
        <f t="shared" si="15"/>
        <v/>
      </c>
      <c r="T15" s="7" t="str">
        <f t="shared" si="16"/>
        <v/>
      </c>
      <c r="U15" s="7" t="str">
        <f t="shared" si="17"/>
        <v/>
      </c>
      <c r="V15" s="7" t="str">
        <f t="shared" si="18"/>
        <v/>
      </c>
      <c r="AA15" s="7" t="str">
        <f>IF(Z15="",[1]Code!H15,Z15)</f>
        <v/>
      </c>
    </row>
    <row r="16" spans="1:27">
      <c r="A16" s="68" t="str">
        <f>IF(Bug!F15="","",Bug!F15)</f>
        <v/>
      </c>
      <c r="B16" s="68" t="str">
        <f t="shared" ca="1" si="0"/>
        <v/>
      </c>
      <c r="C16" s="68" t="str">
        <f t="shared" ca="1" si="1"/>
        <v/>
      </c>
      <c r="D16" s="68" t="str">
        <f t="shared" ca="1" si="2"/>
        <v/>
      </c>
      <c r="E16" s="68" t="str">
        <f t="shared" ca="1" si="3"/>
        <v/>
      </c>
      <c r="F16" s="68" t="str">
        <f t="shared" ca="1" si="4"/>
        <v/>
      </c>
      <c r="G16" s="68" t="str">
        <f t="shared" ca="1" si="5"/>
        <v/>
      </c>
      <c r="H16" s="68" t="str">
        <f t="shared" ca="1" si="6"/>
        <v/>
      </c>
      <c r="I16" s="68" t="str">
        <f ca="1">IF(ISNUMBER(SEARCH("LIVE",H16)),Sheet2!E17, G16)</f>
        <v/>
      </c>
      <c r="J16" s="68" t="str">
        <f ca="1">IF(ISNUMBER(SEARCH("Today",I16)),Sheet2!I16, I16)</f>
        <v/>
      </c>
      <c r="K16" s="7" t="str">
        <f t="shared" ca="1" si="7"/>
        <v/>
      </c>
      <c r="L16" s="7" t="str">
        <f t="shared" si="8"/>
        <v/>
      </c>
      <c r="M16" s="7" t="str">
        <f t="shared" si="9"/>
        <v/>
      </c>
      <c r="N16" s="7" t="str">
        <f t="shared" si="10"/>
        <v/>
      </c>
      <c r="O16" s="7" t="str">
        <f t="shared" si="11"/>
        <v/>
      </c>
      <c r="P16" s="7" t="str">
        <f t="shared" si="12"/>
        <v/>
      </c>
      <c r="Q16" s="7" t="str">
        <f t="shared" si="13"/>
        <v/>
      </c>
      <c r="R16" s="7" t="str">
        <f t="shared" si="14"/>
        <v/>
      </c>
      <c r="S16" s="7" t="str">
        <f t="shared" si="15"/>
        <v/>
      </c>
      <c r="T16" s="7" t="str">
        <f t="shared" si="16"/>
        <v/>
      </c>
      <c r="U16" s="7" t="str">
        <f t="shared" si="17"/>
        <v/>
      </c>
      <c r="V16" s="7" t="str">
        <f t="shared" si="18"/>
        <v/>
      </c>
      <c r="AA16" s="7" t="str">
        <f>IF(Z16="",[1]Code!H16,Z16)</f>
        <v/>
      </c>
    </row>
    <row r="17" spans="1:27">
      <c r="A17" s="68" t="str">
        <f>IF(Bug!F16="","",Bug!F16)</f>
        <v/>
      </c>
      <c r="B17" s="68" t="str">
        <f t="shared" ca="1" si="0"/>
        <v/>
      </c>
      <c r="C17" s="68" t="str">
        <f t="shared" ca="1" si="1"/>
        <v/>
      </c>
      <c r="D17" s="68" t="str">
        <f t="shared" ca="1" si="2"/>
        <v/>
      </c>
      <c r="E17" s="68" t="str">
        <f t="shared" ca="1" si="3"/>
        <v/>
      </c>
      <c r="F17" s="68" t="str">
        <f t="shared" ca="1" si="4"/>
        <v/>
      </c>
      <c r="G17" s="68" t="str">
        <f t="shared" ca="1" si="5"/>
        <v/>
      </c>
      <c r="H17" s="68" t="str">
        <f t="shared" ca="1" si="6"/>
        <v/>
      </c>
      <c r="I17" s="68" t="str">
        <f ca="1">IF(ISNUMBER(SEARCH("LIVE",H17)),Sheet2!E18, G17)</f>
        <v/>
      </c>
      <c r="J17" s="68" t="str">
        <f ca="1">IF(ISNUMBER(SEARCH("Today",I17)),Sheet2!I17, I17)</f>
        <v/>
      </c>
      <c r="K17" s="7" t="str">
        <f t="shared" ca="1" si="7"/>
        <v/>
      </c>
      <c r="L17" s="7" t="str">
        <f t="shared" si="8"/>
        <v/>
      </c>
      <c r="M17" s="7" t="str">
        <f t="shared" si="9"/>
        <v/>
      </c>
      <c r="N17" s="7" t="str">
        <f t="shared" si="10"/>
        <v/>
      </c>
      <c r="O17" s="7" t="str">
        <f t="shared" si="11"/>
        <v/>
      </c>
      <c r="P17" s="7" t="str">
        <f t="shared" si="12"/>
        <v/>
      </c>
      <c r="Q17" s="7" t="str">
        <f t="shared" si="13"/>
        <v/>
      </c>
      <c r="R17" s="7" t="str">
        <f t="shared" si="14"/>
        <v/>
      </c>
      <c r="S17" s="7" t="str">
        <f t="shared" si="15"/>
        <v/>
      </c>
      <c r="T17" s="7" t="str">
        <f t="shared" si="16"/>
        <v/>
      </c>
      <c r="U17" s="7" t="str">
        <f t="shared" si="17"/>
        <v/>
      </c>
      <c r="V17" s="7" t="str">
        <f t="shared" si="18"/>
        <v/>
      </c>
      <c r="AA17" s="7" t="str">
        <f>IF(Z17="",[1]Code!H17,Z17)</f>
        <v/>
      </c>
    </row>
    <row r="18" spans="1:27">
      <c r="A18" s="68" t="str">
        <f>IF(Bug!F17="","",Bug!F17)</f>
        <v/>
      </c>
      <c r="B18" s="68" t="str">
        <f t="shared" ca="1" si="0"/>
        <v/>
      </c>
      <c r="C18" s="68" t="str">
        <f t="shared" ca="1" si="1"/>
        <v/>
      </c>
      <c r="D18" s="68" t="str">
        <f t="shared" ca="1" si="2"/>
        <v/>
      </c>
      <c r="E18" s="68" t="str">
        <f t="shared" ca="1" si="3"/>
        <v/>
      </c>
      <c r="F18" s="68" t="str">
        <f t="shared" ca="1" si="4"/>
        <v/>
      </c>
      <c r="G18" s="68" t="str">
        <f t="shared" ca="1" si="5"/>
        <v/>
      </c>
      <c r="H18" s="68" t="str">
        <f t="shared" ca="1" si="6"/>
        <v/>
      </c>
      <c r="I18" s="68" t="str">
        <f ca="1">IF(ISNUMBER(SEARCH("LIVE",H18)),Sheet2!E19, G18)</f>
        <v/>
      </c>
      <c r="J18" s="68" t="str">
        <f ca="1">IF(ISNUMBER(SEARCH("Today",I18)),Sheet2!I18, I18)</f>
        <v/>
      </c>
      <c r="K18" s="7" t="str">
        <f t="shared" ca="1" si="7"/>
        <v/>
      </c>
      <c r="L18" s="7" t="str">
        <f t="shared" si="8"/>
        <v/>
      </c>
      <c r="M18" s="7" t="str">
        <f t="shared" si="9"/>
        <v/>
      </c>
      <c r="N18" s="7" t="str">
        <f t="shared" si="10"/>
        <v/>
      </c>
      <c r="O18" s="7" t="str">
        <f t="shared" si="11"/>
        <v/>
      </c>
      <c r="P18" s="7" t="str">
        <f t="shared" si="12"/>
        <v/>
      </c>
      <c r="Q18" s="7" t="str">
        <f t="shared" si="13"/>
        <v/>
      </c>
      <c r="R18" s="7" t="str">
        <f t="shared" si="14"/>
        <v/>
      </c>
      <c r="S18" s="7" t="str">
        <f t="shared" si="15"/>
        <v/>
      </c>
      <c r="T18" s="7" t="str">
        <f t="shared" si="16"/>
        <v/>
      </c>
      <c r="U18" s="7" t="str">
        <f t="shared" si="17"/>
        <v/>
      </c>
      <c r="V18" s="7" t="str">
        <f t="shared" si="18"/>
        <v/>
      </c>
      <c r="AA18" s="7" t="str">
        <f>IF(Z18="",[1]Code!H18,Z18)</f>
        <v/>
      </c>
    </row>
    <row r="19" spans="1:27">
      <c r="A19" s="68" t="str">
        <f>IF(Bug!F18="","",Bug!F18)</f>
        <v/>
      </c>
      <c r="B19" s="68" t="str">
        <f t="shared" ca="1" si="0"/>
        <v/>
      </c>
      <c r="C19" s="68" t="str">
        <f t="shared" ca="1" si="1"/>
        <v/>
      </c>
      <c r="D19" s="68" t="str">
        <f t="shared" ca="1" si="2"/>
        <v/>
      </c>
      <c r="E19" s="68" t="str">
        <f t="shared" ca="1" si="3"/>
        <v/>
      </c>
      <c r="F19" s="68" t="str">
        <f t="shared" ca="1" si="4"/>
        <v/>
      </c>
      <c r="G19" s="68" t="str">
        <f t="shared" ca="1" si="5"/>
        <v/>
      </c>
      <c r="H19" s="68" t="str">
        <f t="shared" ca="1" si="6"/>
        <v/>
      </c>
      <c r="I19" s="68" t="str">
        <f ca="1">IF(ISNUMBER(SEARCH("LIVE",H19)),Sheet2!E20, G19)</f>
        <v/>
      </c>
      <c r="J19" s="68" t="str">
        <f ca="1">IF(ISNUMBER(SEARCH("Today",I19)),Sheet2!I19, I19)</f>
        <v/>
      </c>
      <c r="K19" s="7" t="str">
        <f t="shared" ca="1" si="7"/>
        <v/>
      </c>
      <c r="L19" s="7" t="str">
        <f t="shared" si="8"/>
        <v/>
      </c>
      <c r="M19" s="7" t="str">
        <f t="shared" si="9"/>
        <v/>
      </c>
      <c r="N19" s="7" t="str">
        <f t="shared" si="10"/>
        <v/>
      </c>
      <c r="O19" s="7" t="str">
        <f t="shared" si="11"/>
        <v/>
      </c>
      <c r="P19" s="7" t="str">
        <f t="shared" si="12"/>
        <v/>
      </c>
      <c r="Q19" s="7" t="str">
        <f t="shared" si="13"/>
        <v/>
      </c>
      <c r="R19" s="7" t="str">
        <f t="shared" si="14"/>
        <v/>
      </c>
      <c r="S19" s="7" t="str">
        <f t="shared" si="15"/>
        <v/>
      </c>
      <c r="T19" s="7" t="str">
        <f t="shared" si="16"/>
        <v/>
      </c>
      <c r="U19" s="7" t="str">
        <f t="shared" si="17"/>
        <v/>
      </c>
      <c r="V19" s="7" t="str">
        <f t="shared" si="18"/>
        <v/>
      </c>
      <c r="AA19" s="7" t="str">
        <f>IF(Z19="",[1]Code!H19,Z19)</f>
        <v/>
      </c>
    </row>
    <row r="20" spans="1:27">
      <c r="A20" s="68" t="str">
        <f>IF(Bug!F19="","",Bug!F19)</f>
        <v/>
      </c>
      <c r="B20" s="68" t="str">
        <f t="shared" ca="1" si="0"/>
        <v/>
      </c>
      <c r="C20" s="68" t="str">
        <f t="shared" ca="1" si="1"/>
        <v/>
      </c>
      <c r="D20" s="68" t="str">
        <f t="shared" ca="1" si="2"/>
        <v/>
      </c>
      <c r="E20" s="68" t="str">
        <f t="shared" ca="1" si="3"/>
        <v/>
      </c>
      <c r="F20" s="68" t="str">
        <f t="shared" ca="1" si="4"/>
        <v/>
      </c>
      <c r="G20" s="68" t="str">
        <f t="shared" ca="1" si="5"/>
        <v/>
      </c>
      <c r="H20" s="68" t="str">
        <f t="shared" ca="1" si="6"/>
        <v/>
      </c>
      <c r="I20" s="68" t="str">
        <f ca="1">IF(ISNUMBER(SEARCH("LIVE",H20)),Sheet2!E21, G20)</f>
        <v/>
      </c>
      <c r="J20" s="68" t="str">
        <f ca="1">IF(ISNUMBER(SEARCH("Today",I20)),Sheet2!I20, I20)</f>
        <v/>
      </c>
      <c r="K20" s="7" t="str">
        <f t="shared" ca="1" si="7"/>
        <v/>
      </c>
      <c r="L20" s="7" t="str">
        <f t="shared" si="8"/>
        <v/>
      </c>
      <c r="M20" s="7" t="str">
        <f t="shared" si="9"/>
        <v/>
      </c>
      <c r="N20" s="7" t="str">
        <f t="shared" si="10"/>
        <v/>
      </c>
      <c r="O20" s="7" t="str">
        <f t="shared" si="11"/>
        <v/>
      </c>
      <c r="P20" s="7" t="str">
        <f t="shared" si="12"/>
        <v/>
      </c>
      <c r="Q20" s="7" t="str">
        <f t="shared" si="13"/>
        <v/>
      </c>
      <c r="R20" s="7" t="str">
        <f t="shared" si="14"/>
        <v/>
      </c>
      <c r="S20" s="7" t="str">
        <f t="shared" si="15"/>
        <v/>
      </c>
      <c r="T20" s="7" t="str">
        <f t="shared" si="16"/>
        <v/>
      </c>
      <c r="U20" s="7" t="str">
        <f t="shared" si="17"/>
        <v/>
      </c>
      <c r="V20" s="7" t="str">
        <f t="shared" si="18"/>
        <v/>
      </c>
      <c r="AA20" s="7" t="str">
        <f>IF(Z20="",[1]Code!H20,Z20)</f>
        <v/>
      </c>
    </row>
    <row r="21" spans="1:27">
      <c r="A21" s="68" t="str">
        <f>IF(Bug!F20="","",Bug!F20)</f>
        <v/>
      </c>
      <c r="B21" s="68" t="str">
        <f t="shared" ca="1" si="0"/>
        <v/>
      </c>
      <c r="C21" s="68" t="str">
        <f t="shared" ca="1" si="1"/>
        <v/>
      </c>
      <c r="D21" s="68" t="str">
        <f t="shared" ca="1" si="2"/>
        <v/>
      </c>
      <c r="E21" s="68" t="str">
        <f t="shared" ca="1" si="3"/>
        <v/>
      </c>
      <c r="F21" s="68" t="str">
        <f t="shared" ca="1" si="4"/>
        <v/>
      </c>
      <c r="G21" s="68" t="str">
        <f t="shared" ca="1" si="5"/>
        <v/>
      </c>
      <c r="H21" s="68" t="str">
        <f t="shared" ca="1" si="6"/>
        <v/>
      </c>
      <c r="I21" s="68" t="str">
        <f ca="1">IF(ISNUMBER(SEARCH("LIVE",H21)),Sheet2!E22, G21)</f>
        <v/>
      </c>
      <c r="J21" s="68" t="str">
        <f ca="1">IF(ISNUMBER(SEARCH("Today",I21)),Sheet2!I21, I21)</f>
        <v/>
      </c>
      <c r="K21" s="7" t="str">
        <f t="shared" ca="1" si="7"/>
        <v/>
      </c>
      <c r="L21" s="7" t="str">
        <f t="shared" si="8"/>
        <v/>
      </c>
      <c r="M21" s="7" t="str">
        <f t="shared" si="9"/>
        <v/>
      </c>
      <c r="N21" s="7" t="str">
        <f t="shared" si="10"/>
        <v/>
      </c>
      <c r="O21" s="7" t="str">
        <f t="shared" si="11"/>
        <v/>
      </c>
      <c r="P21" s="7" t="str">
        <f t="shared" si="12"/>
        <v/>
      </c>
      <c r="Q21" s="7" t="str">
        <f t="shared" si="13"/>
        <v/>
      </c>
      <c r="R21" s="7" t="str">
        <f t="shared" si="14"/>
        <v/>
      </c>
      <c r="S21" s="7" t="str">
        <f t="shared" si="15"/>
        <v/>
      </c>
      <c r="T21" s="7" t="str">
        <f t="shared" si="16"/>
        <v/>
      </c>
      <c r="U21" s="7" t="str">
        <f t="shared" si="17"/>
        <v/>
      </c>
      <c r="V21" s="7" t="str">
        <f t="shared" si="18"/>
        <v/>
      </c>
      <c r="AA21" s="7" t="str">
        <f>IF(Z21="",[1]Code!H21,Z21)</f>
        <v/>
      </c>
    </row>
    <row r="22" spans="1:27">
      <c r="A22" s="68" t="str">
        <f>IF(Bug!F21="","",Bug!F21)</f>
        <v/>
      </c>
      <c r="B22" s="69" t="str">
        <f t="shared" ca="1" si="0"/>
        <v/>
      </c>
      <c r="C22" s="68" t="str">
        <f t="shared" ca="1" si="1"/>
        <v/>
      </c>
      <c r="D22" s="68" t="str">
        <f t="shared" ca="1" si="2"/>
        <v/>
      </c>
      <c r="E22" s="68" t="str">
        <f t="shared" ca="1" si="3"/>
        <v/>
      </c>
      <c r="F22" s="68" t="str">
        <f t="shared" ca="1" si="4"/>
        <v/>
      </c>
      <c r="G22" s="68" t="str">
        <f t="shared" ca="1" si="5"/>
        <v/>
      </c>
      <c r="H22" s="68" t="str">
        <f t="shared" ca="1" si="6"/>
        <v/>
      </c>
      <c r="I22" s="68" t="str">
        <f ca="1">IF(ISNUMBER(SEARCH("LIVE",H22)),Sheet2!E23, G22)</f>
        <v/>
      </c>
      <c r="J22" s="68" t="str">
        <f ca="1">IF(ISNUMBER(SEARCH("Today",I22)),Sheet2!I22, I22)</f>
        <v/>
      </c>
      <c r="K22" s="7" t="str">
        <f t="shared" ca="1" si="7"/>
        <v/>
      </c>
      <c r="L22" s="7" t="str">
        <f t="shared" si="8"/>
        <v/>
      </c>
      <c r="M22" s="7" t="str">
        <f t="shared" si="9"/>
        <v/>
      </c>
      <c r="N22" s="7" t="str">
        <f t="shared" si="10"/>
        <v/>
      </c>
      <c r="O22" s="7" t="str">
        <f t="shared" si="11"/>
        <v/>
      </c>
      <c r="P22" s="7" t="str">
        <f t="shared" si="12"/>
        <v/>
      </c>
      <c r="Q22" s="7" t="str">
        <f t="shared" si="13"/>
        <v/>
      </c>
      <c r="R22" s="7" t="str">
        <f t="shared" si="14"/>
        <v/>
      </c>
      <c r="S22" s="7" t="str">
        <f t="shared" si="15"/>
        <v/>
      </c>
      <c r="T22" s="7" t="str">
        <f t="shared" si="16"/>
        <v/>
      </c>
      <c r="U22" s="7" t="str">
        <f t="shared" si="17"/>
        <v/>
      </c>
      <c r="V22" s="7" t="str">
        <f t="shared" si="18"/>
        <v/>
      </c>
      <c r="AA22" s="7" t="str">
        <f>IF(Z22="",[1]Code!H22,Z22)</f>
        <v/>
      </c>
    </row>
    <row r="23" spans="1:27">
      <c r="A23" s="68" t="str">
        <f>IF(Bug!F22="","",Bug!F22)</f>
        <v/>
      </c>
      <c r="B23" s="68" t="str">
        <f t="shared" ca="1" si="0"/>
        <v/>
      </c>
      <c r="C23" s="68" t="str">
        <f t="shared" ca="1" si="1"/>
        <v/>
      </c>
      <c r="D23" s="68" t="str">
        <f t="shared" ca="1" si="2"/>
        <v/>
      </c>
      <c r="E23" s="68" t="str">
        <f t="shared" ca="1" si="3"/>
        <v/>
      </c>
      <c r="F23" s="68" t="str">
        <f t="shared" ca="1" si="4"/>
        <v/>
      </c>
      <c r="G23" s="68" t="str">
        <f t="shared" ca="1" si="5"/>
        <v/>
      </c>
      <c r="H23" s="68" t="str">
        <f t="shared" ca="1" si="6"/>
        <v/>
      </c>
      <c r="I23" s="68" t="str">
        <f ca="1">IF(ISNUMBER(SEARCH("LIVE",H23)),Sheet2!E24, G23)</f>
        <v/>
      </c>
      <c r="J23" s="68" t="str">
        <f ca="1">IF(ISNUMBER(SEARCH("Today",I23)),Sheet2!I23, I23)</f>
        <v/>
      </c>
      <c r="K23" s="7" t="str">
        <f t="shared" ca="1" si="7"/>
        <v/>
      </c>
      <c r="L23" s="7" t="str">
        <f t="shared" si="8"/>
        <v/>
      </c>
      <c r="M23" s="7" t="str">
        <f t="shared" si="9"/>
        <v/>
      </c>
      <c r="N23" s="7" t="str">
        <f t="shared" si="10"/>
        <v/>
      </c>
      <c r="O23" s="7" t="str">
        <f t="shared" si="11"/>
        <v/>
      </c>
      <c r="P23" s="7" t="str">
        <f t="shared" si="12"/>
        <v/>
      </c>
      <c r="Q23" s="7" t="str">
        <f t="shared" si="13"/>
        <v/>
      </c>
      <c r="R23" s="7" t="str">
        <f t="shared" si="14"/>
        <v/>
      </c>
      <c r="S23" s="7" t="str">
        <f t="shared" si="15"/>
        <v/>
      </c>
      <c r="T23" s="7" t="str">
        <f t="shared" si="16"/>
        <v/>
      </c>
      <c r="U23" s="7" t="str">
        <f t="shared" si="17"/>
        <v/>
      </c>
      <c r="V23" s="7" t="str">
        <f t="shared" si="18"/>
        <v/>
      </c>
      <c r="AA23" s="7" t="str">
        <f>IF(Z23="",[1]Code!H23,Z23)</f>
        <v/>
      </c>
    </row>
    <row r="24" spans="1:27">
      <c r="A24" s="68" t="str">
        <f>IF(Bug!F23="","",Bug!F23)</f>
        <v/>
      </c>
      <c r="B24" s="68" t="str">
        <f t="shared" ca="1" si="0"/>
        <v/>
      </c>
      <c r="C24" s="68" t="str">
        <f t="shared" ca="1" si="1"/>
        <v/>
      </c>
      <c r="D24" s="68" t="str">
        <f t="shared" ca="1" si="2"/>
        <v/>
      </c>
      <c r="E24" s="68" t="str">
        <f t="shared" ca="1" si="3"/>
        <v/>
      </c>
      <c r="F24" s="68" t="str">
        <f t="shared" ca="1" si="4"/>
        <v/>
      </c>
      <c r="G24" s="68" t="str">
        <f t="shared" ca="1" si="5"/>
        <v/>
      </c>
      <c r="H24" s="68" t="str">
        <f t="shared" ca="1" si="6"/>
        <v/>
      </c>
      <c r="I24" s="68" t="str">
        <f ca="1">IF(ISNUMBER(SEARCH("LIVE",H24)),Sheet2!E25, G24)</f>
        <v/>
      </c>
      <c r="J24" s="68" t="str">
        <f ca="1">IF(ISNUMBER(SEARCH("Today",I24)),Sheet2!I24, I24)</f>
        <v/>
      </c>
      <c r="K24" s="7" t="str">
        <f t="shared" ca="1" si="7"/>
        <v/>
      </c>
      <c r="L24" s="7" t="str">
        <f t="shared" si="8"/>
        <v/>
      </c>
      <c r="M24" s="7" t="str">
        <f t="shared" si="9"/>
        <v/>
      </c>
      <c r="N24" s="7" t="str">
        <f t="shared" si="10"/>
        <v/>
      </c>
      <c r="O24" s="7" t="str">
        <f t="shared" si="11"/>
        <v/>
      </c>
      <c r="P24" s="7" t="str">
        <f t="shared" si="12"/>
        <v/>
      </c>
      <c r="Q24" s="7" t="str">
        <f t="shared" si="13"/>
        <v/>
      </c>
      <c r="R24" s="7" t="str">
        <f t="shared" si="14"/>
        <v/>
      </c>
      <c r="S24" s="7" t="str">
        <f t="shared" si="15"/>
        <v/>
      </c>
      <c r="T24" s="7" t="str">
        <f t="shared" si="16"/>
        <v/>
      </c>
      <c r="U24" s="7" t="str">
        <f t="shared" si="17"/>
        <v/>
      </c>
      <c r="V24" s="7" t="str">
        <f t="shared" si="18"/>
        <v/>
      </c>
      <c r="AA24" s="7" t="str">
        <f>IF(Z24="",[1]Code!H24,Z24)</f>
        <v/>
      </c>
    </row>
    <row r="25" spans="1:27">
      <c r="A25" s="68" t="str">
        <f>IF(Bug!F24="","",Bug!F24)</f>
        <v/>
      </c>
      <c r="B25" s="68" t="str">
        <f t="shared" ca="1" si="0"/>
        <v/>
      </c>
      <c r="C25" s="68" t="str">
        <f t="shared" ca="1" si="1"/>
        <v/>
      </c>
      <c r="D25" s="68" t="str">
        <f t="shared" ca="1" si="2"/>
        <v/>
      </c>
      <c r="E25" s="68" t="str">
        <f t="shared" ca="1" si="3"/>
        <v/>
      </c>
      <c r="F25" s="68" t="str">
        <f t="shared" ca="1" si="4"/>
        <v/>
      </c>
      <c r="G25" s="68" t="str">
        <f t="shared" ca="1" si="5"/>
        <v/>
      </c>
      <c r="H25" s="68" t="str">
        <f t="shared" ca="1" si="6"/>
        <v/>
      </c>
      <c r="I25" s="68" t="str">
        <f ca="1">IF(ISNUMBER(SEARCH("LIVE",H25)),Sheet2!E26, G25)</f>
        <v/>
      </c>
      <c r="J25" s="68" t="str">
        <f ca="1">IF(ISNUMBER(SEARCH("Today",I25)),Sheet2!I25, I25)</f>
        <v/>
      </c>
      <c r="K25" s="7" t="str">
        <f t="shared" ca="1" si="7"/>
        <v/>
      </c>
      <c r="L25" s="7" t="str">
        <f t="shared" si="8"/>
        <v/>
      </c>
      <c r="M25" s="7" t="str">
        <f t="shared" si="9"/>
        <v/>
      </c>
      <c r="N25" s="7" t="str">
        <f t="shared" si="10"/>
        <v/>
      </c>
      <c r="O25" s="7" t="str">
        <f t="shared" si="11"/>
        <v/>
      </c>
      <c r="P25" s="7" t="str">
        <f t="shared" si="12"/>
        <v/>
      </c>
      <c r="Q25" s="7" t="str">
        <f t="shared" si="13"/>
        <v/>
      </c>
      <c r="R25" s="7" t="str">
        <f t="shared" si="14"/>
        <v/>
      </c>
      <c r="S25" s="7" t="str">
        <f t="shared" si="15"/>
        <v/>
      </c>
      <c r="T25" s="7" t="str">
        <f t="shared" si="16"/>
        <v/>
      </c>
      <c r="U25" s="7" t="str">
        <f t="shared" si="17"/>
        <v/>
      </c>
      <c r="V25" s="7" t="str">
        <f t="shared" si="18"/>
        <v/>
      </c>
      <c r="AA25" s="7" t="str">
        <f>IF(Z25="",[1]Code!H25,Z25)</f>
        <v/>
      </c>
    </row>
    <row r="26" spans="1:27">
      <c r="A26" s="68" t="str">
        <f>IF(Bug!F25="","",Bug!F25)</f>
        <v/>
      </c>
      <c r="B26" s="68" t="str">
        <f t="shared" ca="1" si="0"/>
        <v/>
      </c>
      <c r="C26" s="68" t="str">
        <f t="shared" ca="1" si="1"/>
        <v/>
      </c>
      <c r="D26" s="68" t="str">
        <f t="shared" ca="1" si="2"/>
        <v/>
      </c>
      <c r="E26" s="68" t="str">
        <f t="shared" ca="1" si="3"/>
        <v/>
      </c>
      <c r="F26" s="68" t="str">
        <f t="shared" ca="1" si="4"/>
        <v/>
      </c>
      <c r="G26" s="68" t="str">
        <f t="shared" ca="1" si="5"/>
        <v/>
      </c>
      <c r="H26" s="68" t="str">
        <f t="shared" ca="1" si="6"/>
        <v/>
      </c>
      <c r="I26" s="68" t="str">
        <f ca="1">IF(ISNUMBER(SEARCH("LIVE",H26)),Sheet2!E27, G26)</f>
        <v/>
      </c>
      <c r="J26" s="68" t="str">
        <f ca="1">IF(ISNUMBER(SEARCH("Today",I26)),Sheet2!I26, I26)</f>
        <v/>
      </c>
      <c r="K26" s="7" t="str">
        <f t="shared" ca="1" si="7"/>
        <v/>
      </c>
      <c r="L26" s="7" t="str">
        <f t="shared" si="8"/>
        <v/>
      </c>
      <c r="M26" s="7" t="str">
        <f t="shared" si="9"/>
        <v/>
      </c>
      <c r="N26" s="7" t="str">
        <f t="shared" si="10"/>
        <v/>
      </c>
      <c r="O26" s="7" t="str">
        <f t="shared" si="11"/>
        <v/>
      </c>
      <c r="P26" s="7" t="str">
        <f t="shared" si="12"/>
        <v/>
      </c>
      <c r="Q26" s="7" t="str">
        <f t="shared" si="13"/>
        <v/>
      </c>
      <c r="R26" s="7" t="str">
        <f t="shared" si="14"/>
        <v/>
      </c>
      <c r="S26" s="7" t="str">
        <f t="shared" si="15"/>
        <v/>
      </c>
      <c r="T26" s="7" t="str">
        <f t="shared" si="16"/>
        <v/>
      </c>
      <c r="U26" s="7" t="str">
        <f t="shared" si="17"/>
        <v/>
      </c>
      <c r="V26" s="7" t="str">
        <f t="shared" si="18"/>
        <v/>
      </c>
      <c r="AA26" s="7" t="str">
        <f>IF(Z26="",[1]Code!H26,Z26)</f>
        <v/>
      </c>
    </row>
    <row r="27" spans="1:27">
      <c r="A27" s="68" t="str">
        <f>IF(Bug!F26="","",Bug!F26)</f>
        <v/>
      </c>
      <c r="B27" s="68" t="str">
        <f t="shared" ca="1" si="0"/>
        <v/>
      </c>
      <c r="C27" s="68" t="str">
        <f t="shared" ca="1" si="1"/>
        <v/>
      </c>
      <c r="D27" s="68" t="str">
        <f t="shared" ca="1" si="2"/>
        <v/>
      </c>
      <c r="E27" s="68" t="str">
        <f t="shared" ca="1" si="3"/>
        <v/>
      </c>
      <c r="F27" s="68" t="str">
        <f t="shared" ca="1" si="4"/>
        <v/>
      </c>
      <c r="G27" s="68" t="str">
        <f t="shared" ca="1" si="5"/>
        <v/>
      </c>
      <c r="H27" s="68" t="str">
        <f t="shared" ca="1" si="6"/>
        <v/>
      </c>
      <c r="I27" s="68" t="str">
        <f ca="1">IF(ISNUMBER(SEARCH("LIVE",H27)),Sheet2!E28, G27)</f>
        <v/>
      </c>
      <c r="J27" s="68" t="str">
        <f ca="1">IF(ISNUMBER(SEARCH("Today",I27)),Sheet2!I27, I27)</f>
        <v/>
      </c>
      <c r="K27" s="7" t="str">
        <f t="shared" ca="1" si="7"/>
        <v/>
      </c>
      <c r="L27" s="7" t="str">
        <f t="shared" si="8"/>
        <v/>
      </c>
      <c r="M27" s="7" t="str">
        <f t="shared" si="9"/>
        <v/>
      </c>
      <c r="N27" s="7" t="str">
        <f t="shared" si="10"/>
        <v/>
      </c>
      <c r="O27" s="7" t="str">
        <f t="shared" si="11"/>
        <v/>
      </c>
      <c r="P27" s="7" t="str">
        <f t="shared" si="12"/>
        <v/>
      </c>
      <c r="Q27" s="7" t="str">
        <f t="shared" si="13"/>
        <v/>
      </c>
      <c r="R27" s="7" t="str">
        <f t="shared" si="14"/>
        <v/>
      </c>
      <c r="S27" s="7" t="str">
        <f t="shared" si="15"/>
        <v/>
      </c>
      <c r="T27" s="7" t="str">
        <f t="shared" si="16"/>
        <v/>
      </c>
      <c r="U27" s="7" t="str">
        <f t="shared" si="17"/>
        <v/>
      </c>
      <c r="V27" s="7" t="str">
        <f t="shared" si="18"/>
        <v/>
      </c>
      <c r="AA27" s="7" t="str">
        <f>IF(Z27="",[1]Code!H27,Z27)</f>
        <v/>
      </c>
    </row>
    <row r="28" spans="1:27">
      <c r="A28" s="68" t="str">
        <f>IF(Bug!F27="","",Bug!F27)</f>
        <v/>
      </c>
      <c r="B28" s="68" t="str">
        <f t="shared" ca="1" si="0"/>
        <v/>
      </c>
      <c r="C28" s="68" t="str">
        <f t="shared" ca="1" si="1"/>
        <v/>
      </c>
      <c r="D28" s="68" t="str">
        <f t="shared" ca="1" si="2"/>
        <v/>
      </c>
      <c r="E28" s="68" t="str">
        <f t="shared" ca="1" si="3"/>
        <v/>
      </c>
      <c r="F28" s="68" t="str">
        <f t="shared" ca="1" si="4"/>
        <v/>
      </c>
      <c r="G28" s="68" t="str">
        <f t="shared" ca="1" si="5"/>
        <v/>
      </c>
      <c r="H28" s="68" t="str">
        <f t="shared" ca="1" si="6"/>
        <v/>
      </c>
      <c r="I28" s="68" t="str">
        <f ca="1">IF(ISNUMBER(SEARCH("LIVE",H28)),Sheet2!E29, G28)</f>
        <v/>
      </c>
      <c r="J28" s="68" t="str">
        <f ca="1">IF(ISNUMBER(SEARCH("Today",I28)),Sheet2!I28, I28)</f>
        <v/>
      </c>
      <c r="K28" s="7" t="str">
        <f t="shared" ca="1" si="7"/>
        <v/>
      </c>
      <c r="L28" s="7" t="str">
        <f t="shared" si="8"/>
        <v/>
      </c>
      <c r="M28" s="7" t="str">
        <f t="shared" si="9"/>
        <v/>
      </c>
      <c r="N28" s="7" t="str">
        <f t="shared" si="10"/>
        <v/>
      </c>
      <c r="O28" s="7" t="str">
        <f t="shared" si="11"/>
        <v/>
      </c>
      <c r="P28" s="7" t="str">
        <f t="shared" si="12"/>
        <v/>
      </c>
      <c r="Q28" s="7" t="str">
        <f t="shared" si="13"/>
        <v/>
      </c>
      <c r="R28" s="7" t="str">
        <f t="shared" si="14"/>
        <v/>
      </c>
      <c r="S28" s="7" t="str">
        <f t="shared" si="15"/>
        <v/>
      </c>
      <c r="T28" s="7" t="str">
        <f t="shared" si="16"/>
        <v/>
      </c>
      <c r="U28" s="7" t="str">
        <f t="shared" si="17"/>
        <v/>
      </c>
      <c r="V28" s="7" t="str">
        <f t="shared" si="18"/>
        <v/>
      </c>
      <c r="AA28" s="7" t="str">
        <f>IF(Z28="",[1]Code!H28,Z28)</f>
        <v/>
      </c>
    </row>
    <row r="29" spans="1:27">
      <c r="A29" s="68" t="str">
        <f>IF(Bug!F28="","",Bug!F28)</f>
        <v/>
      </c>
      <c r="B29" s="68" t="str">
        <f t="shared" ca="1" si="0"/>
        <v/>
      </c>
      <c r="C29" s="68" t="str">
        <f t="shared" ca="1" si="1"/>
        <v/>
      </c>
      <c r="D29" s="68" t="str">
        <f t="shared" ca="1" si="2"/>
        <v/>
      </c>
      <c r="E29" s="68" t="str">
        <f t="shared" ca="1" si="3"/>
        <v/>
      </c>
      <c r="F29" s="68" t="str">
        <f t="shared" ca="1" si="4"/>
        <v/>
      </c>
      <c r="G29" s="68" t="str">
        <f t="shared" ca="1" si="5"/>
        <v/>
      </c>
      <c r="H29" s="68" t="str">
        <f t="shared" ca="1" si="6"/>
        <v/>
      </c>
      <c r="I29" s="68" t="str">
        <f ca="1">IF(ISNUMBER(SEARCH("LIVE",H29)),Sheet2!E30, G29)</f>
        <v/>
      </c>
      <c r="J29" s="68" t="str">
        <f ca="1">IF(ISNUMBER(SEARCH("Today",I29)),Sheet2!I29, I29)</f>
        <v/>
      </c>
      <c r="K29" s="7" t="str">
        <f t="shared" ca="1" si="7"/>
        <v/>
      </c>
      <c r="L29" s="7" t="str">
        <f t="shared" si="8"/>
        <v/>
      </c>
      <c r="M29" s="7" t="str">
        <f t="shared" si="9"/>
        <v/>
      </c>
      <c r="N29" s="7" t="str">
        <f t="shared" si="10"/>
        <v/>
      </c>
      <c r="O29" s="7" t="str">
        <f t="shared" si="11"/>
        <v/>
      </c>
      <c r="P29" s="7" t="str">
        <f t="shared" si="12"/>
        <v/>
      </c>
      <c r="Q29" s="7" t="str">
        <f t="shared" si="13"/>
        <v/>
      </c>
      <c r="R29" s="7" t="str">
        <f t="shared" si="14"/>
        <v/>
      </c>
      <c r="S29" s="7" t="str">
        <f t="shared" si="15"/>
        <v/>
      </c>
      <c r="T29" s="7" t="str">
        <f t="shared" si="16"/>
        <v/>
      </c>
      <c r="U29" s="7" t="str">
        <f t="shared" si="17"/>
        <v/>
      </c>
      <c r="V29" s="7" t="str">
        <f t="shared" si="18"/>
        <v/>
      </c>
      <c r="AA29" s="7" t="str">
        <f>IF(Z29="",[1]Code!H29,Z29)</f>
        <v/>
      </c>
    </row>
    <row r="30" spans="1:27">
      <c r="A30" s="68" t="str">
        <f>IF(Bug!F29="","",Bug!F29)</f>
        <v/>
      </c>
      <c r="B30" s="68" t="str">
        <f t="shared" ca="1" si="0"/>
        <v/>
      </c>
      <c r="C30" s="68" t="str">
        <f t="shared" ca="1" si="1"/>
        <v/>
      </c>
      <c r="D30" s="68" t="str">
        <f t="shared" ca="1" si="2"/>
        <v/>
      </c>
      <c r="E30" s="68" t="str">
        <f t="shared" ca="1" si="3"/>
        <v/>
      </c>
      <c r="F30" s="68" t="str">
        <f t="shared" ca="1" si="4"/>
        <v/>
      </c>
      <c r="G30" s="68" t="str">
        <f t="shared" ca="1" si="5"/>
        <v/>
      </c>
      <c r="H30" s="68" t="str">
        <f t="shared" ca="1" si="6"/>
        <v/>
      </c>
      <c r="I30" s="68" t="str">
        <f ca="1">IF(ISNUMBER(SEARCH("LIVE",H30)),Sheet2!E31, G30)</f>
        <v/>
      </c>
      <c r="J30" s="68" t="str">
        <f ca="1">IF(ISNUMBER(SEARCH("Today",I30)),Sheet2!I30, I30)</f>
        <v/>
      </c>
      <c r="K30" s="7" t="str">
        <f t="shared" ca="1" si="7"/>
        <v/>
      </c>
      <c r="L30" s="7" t="str">
        <f t="shared" si="8"/>
        <v/>
      </c>
      <c r="M30" s="7" t="str">
        <f t="shared" si="9"/>
        <v/>
      </c>
      <c r="N30" s="7" t="str">
        <f t="shared" si="10"/>
        <v/>
      </c>
      <c r="O30" s="7" t="str">
        <f t="shared" si="11"/>
        <v/>
      </c>
      <c r="P30" s="7" t="str">
        <f t="shared" si="12"/>
        <v/>
      </c>
      <c r="Q30" s="7" t="str">
        <f t="shared" si="13"/>
        <v/>
      </c>
      <c r="R30" s="7" t="str">
        <f t="shared" si="14"/>
        <v/>
      </c>
      <c r="S30" s="7" t="str">
        <f t="shared" si="15"/>
        <v/>
      </c>
      <c r="T30" s="7" t="str">
        <f t="shared" si="16"/>
        <v/>
      </c>
      <c r="U30" s="7" t="str">
        <f t="shared" si="17"/>
        <v/>
      </c>
      <c r="V30" s="7" t="str">
        <f t="shared" si="18"/>
        <v/>
      </c>
      <c r="AA30" s="7" t="str">
        <f>IF(Z30="",[1]Code!H30,Z30)</f>
        <v/>
      </c>
    </row>
    <row r="31" spans="1:27">
      <c r="A31" s="68" t="str">
        <f>IF(Bug!F30="","",Bug!F30)</f>
        <v/>
      </c>
      <c r="B31" s="68" t="str">
        <f t="shared" ca="1" si="0"/>
        <v/>
      </c>
      <c r="C31" s="68" t="str">
        <f t="shared" ca="1" si="1"/>
        <v/>
      </c>
      <c r="D31" s="68" t="str">
        <f t="shared" ca="1" si="2"/>
        <v/>
      </c>
      <c r="E31" s="68" t="str">
        <f t="shared" ca="1" si="3"/>
        <v/>
      </c>
      <c r="F31" s="68" t="str">
        <f t="shared" ca="1" si="4"/>
        <v/>
      </c>
      <c r="G31" s="68" t="str">
        <f t="shared" ca="1" si="5"/>
        <v/>
      </c>
      <c r="H31" s="68" t="str">
        <f t="shared" ca="1" si="6"/>
        <v/>
      </c>
      <c r="I31" s="68" t="str">
        <f ca="1">IF(ISNUMBER(SEARCH("LIVE",H31)),Sheet2!E32, G31)</f>
        <v/>
      </c>
      <c r="J31" s="68" t="str">
        <f ca="1">IF(ISNUMBER(SEARCH("Today",I31)),Sheet2!I31, I31)</f>
        <v/>
      </c>
      <c r="K31" s="7" t="str">
        <f t="shared" ca="1" si="7"/>
        <v/>
      </c>
      <c r="L31" s="7" t="str">
        <f t="shared" si="8"/>
        <v/>
      </c>
      <c r="M31" s="7" t="str">
        <f t="shared" si="9"/>
        <v/>
      </c>
      <c r="N31" s="7" t="str">
        <f t="shared" si="10"/>
        <v/>
      </c>
      <c r="O31" s="7" t="str">
        <f t="shared" si="11"/>
        <v/>
      </c>
      <c r="P31" s="7" t="str">
        <f t="shared" si="12"/>
        <v/>
      </c>
      <c r="Q31" s="7" t="str">
        <f t="shared" si="13"/>
        <v/>
      </c>
      <c r="R31" s="7" t="str">
        <f t="shared" si="14"/>
        <v/>
      </c>
      <c r="S31" s="7" t="str">
        <f t="shared" si="15"/>
        <v/>
      </c>
      <c r="T31" s="7" t="str">
        <f t="shared" si="16"/>
        <v/>
      </c>
      <c r="U31" s="7" t="str">
        <f t="shared" si="17"/>
        <v/>
      </c>
      <c r="V31" s="7" t="str">
        <f t="shared" si="18"/>
        <v/>
      </c>
      <c r="AA31" s="7" t="str">
        <f>IF(Z31="",[1]Code!H31,Z31)</f>
        <v/>
      </c>
    </row>
    <row r="32" spans="1:27">
      <c r="A32" s="68" t="str">
        <f>IF(Bug!F31="","",Bug!F31)</f>
        <v/>
      </c>
      <c r="B32" s="68" t="str">
        <f t="shared" ca="1" si="0"/>
        <v/>
      </c>
      <c r="C32" s="68" t="str">
        <f t="shared" ca="1" si="1"/>
        <v/>
      </c>
      <c r="D32" s="68" t="str">
        <f t="shared" ca="1" si="2"/>
        <v/>
      </c>
      <c r="E32" s="68" t="str">
        <f t="shared" ca="1" si="3"/>
        <v/>
      </c>
      <c r="F32" s="68" t="str">
        <f t="shared" ca="1" si="4"/>
        <v/>
      </c>
      <c r="G32" s="68" t="str">
        <f t="shared" ca="1" si="5"/>
        <v/>
      </c>
      <c r="H32" s="68" t="str">
        <f t="shared" ca="1" si="6"/>
        <v/>
      </c>
      <c r="I32" s="68" t="str">
        <f ca="1">IF(ISNUMBER(SEARCH("LIVE",H32)),Sheet2!E33, G32)</f>
        <v/>
      </c>
      <c r="J32" s="68" t="str">
        <f ca="1">IF(ISNUMBER(SEARCH("Today",I32)),Sheet2!I32, I32)</f>
        <v/>
      </c>
      <c r="K32" s="7" t="str">
        <f t="shared" ca="1" si="7"/>
        <v/>
      </c>
      <c r="L32" s="7" t="str">
        <f t="shared" si="8"/>
        <v/>
      </c>
      <c r="M32" s="7" t="str">
        <f t="shared" si="9"/>
        <v/>
      </c>
      <c r="N32" s="7" t="str">
        <f t="shared" si="10"/>
        <v/>
      </c>
      <c r="O32" s="7" t="str">
        <f t="shared" si="11"/>
        <v/>
      </c>
      <c r="P32" s="7" t="str">
        <f t="shared" si="12"/>
        <v/>
      </c>
      <c r="Q32" s="7" t="str">
        <f t="shared" si="13"/>
        <v/>
      </c>
      <c r="R32" s="7" t="str">
        <f t="shared" si="14"/>
        <v/>
      </c>
      <c r="S32" s="7" t="str">
        <f t="shared" si="15"/>
        <v/>
      </c>
      <c r="T32" s="7" t="str">
        <f t="shared" si="16"/>
        <v/>
      </c>
      <c r="U32" s="7" t="str">
        <f t="shared" si="17"/>
        <v/>
      </c>
      <c r="V32" s="7" t="str">
        <f t="shared" si="18"/>
        <v/>
      </c>
      <c r="AA32" s="7" t="str">
        <f>IF(Z32="",[1]Code!H32,Z32)</f>
        <v/>
      </c>
    </row>
    <row r="33" spans="1:27">
      <c r="A33" s="68" t="str">
        <f>IF(Bug!F32="","",Bug!F32)</f>
        <v/>
      </c>
      <c r="B33" s="68" t="str">
        <f t="shared" ca="1" si="0"/>
        <v/>
      </c>
      <c r="C33" s="68" t="str">
        <f t="shared" ca="1" si="1"/>
        <v/>
      </c>
      <c r="D33" s="68" t="str">
        <f t="shared" ca="1" si="2"/>
        <v/>
      </c>
      <c r="E33" s="68" t="str">
        <f t="shared" ca="1" si="3"/>
        <v/>
      </c>
      <c r="F33" s="68" t="str">
        <f t="shared" ca="1" si="4"/>
        <v/>
      </c>
      <c r="G33" s="68" t="str">
        <f t="shared" ca="1" si="5"/>
        <v/>
      </c>
      <c r="H33" s="68" t="str">
        <f t="shared" ca="1" si="6"/>
        <v/>
      </c>
      <c r="I33" s="68" t="str">
        <f ca="1">IF(ISNUMBER(SEARCH("LIVE",H33)),Sheet2!E34, G33)</f>
        <v/>
      </c>
      <c r="J33" s="68" t="str">
        <f ca="1">IF(ISNUMBER(SEARCH("Today",I33)),Sheet2!I33, I33)</f>
        <v/>
      </c>
      <c r="K33" s="7" t="str">
        <f t="shared" ca="1" si="7"/>
        <v/>
      </c>
      <c r="L33" s="7" t="str">
        <f t="shared" si="8"/>
        <v/>
      </c>
      <c r="M33" s="7" t="str">
        <f t="shared" si="9"/>
        <v/>
      </c>
      <c r="N33" s="7" t="str">
        <f t="shared" si="10"/>
        <v/>
      </c>
      <c r="O33" s="7" t="str">
        <f t="shared" si="11"/>
        <v/>
      </c>
      <c r="P33" s="7" t="str">
        <f t="shared" si="12"/>
        <v/>
      </c>
      <c r="Q33" s="7" t="str">
        <f t="shared" si="13"/>
        <v/>
      </c>
      <c r="R33" s="7" t="str">
        <f t="shared" si="14"/>
        <v/>
      </c>
      <c r="S33" s="7" t="str">
        <f t="shared" si="15"/>
        <v/>
      </c>
      <c r="T33" s="7" t="str">
        <f t="shared" si="16"/>
        <v/>
      </c>
      <c r="U33" s="7" t="str">
        <f t="shared" si="17"/>
        <v/>
      </c>
      <c r="V33" s="7" t="str">
        <f t="shared" si="18"/>
        <v/>
      </c>
      <c r="AA33" s="7" t="str">
        <f>IF(Z33="",[1]Code!H33,Z33)</f>
        <v/>
      </c>
    </row>
    <row r="34" spans="1:27">
      <c r="A34" s="68" t="str">
        <f>IF(Bug!F33="","",Bug!F33)</f>
        <v/>
      </c>
      <c r="B34" s="68" t="str">
        <f t="shared" ca="1" si="0"/>
        <v/>
      </c>
      <c r="C34" s="68" t="str">
        <f t="shared" ca="1" si="1"/>
        <v/>
      </c>
      <c r="D34" s="68" t="str">
        <f t="shared" ca="1" si="2"/>
        <v/>
      </c>
      <c r="E34" s="68" t="str">
        <f t="shared" ca="1" si="3"/>
        <v/>
      </c>
      <c r="F34" s="68" t="str">
        <f t="shared" ca="1" si="4"/>
        <v/>
      </c>
      <c r="G34" s="68" t="str">
        <f t="shared" ca="1" si="5"/>
        <v/>
      </c>
      <c r="H34" s="68" t="str">
        <f t="shared" ca="1" si="6"/>
        <v/>
      </c>
      <c r="I34" s="68" t="str">
        <f ca="1">IF(ISNUMBER(SEARCH("LIVE",H34)),Sheet2!E35, G34)</f>
        <v/>
      </c>
      <c r="J34" s="68" t="str">
        <f ca="1">IF(ISNUMBER(SEARCH("Today",I34)),Sheet2!I34, I34)</f>
        <v/>
      </c>
      <c r="K34" s="7" t="str">
        <f t="shared" ca="1" si="7"/>
        <v/>
      </c>
      <c r="L34" s="7" t="str">
        <f t="shared" si="8"/>
        <v/>
      </c>
      <c r="M34" s="7" t="str">
        <f t="shared" si="9"/>
        <v/>
      </c>
      <c r="N34" s="7" t="str">
        <f t="shared" si="10"/>
        <v/>
      </c>
      <c r="O34" s="7" t="str">
        <f t="shared" si="11"/>
        <v/>
      </c>
      <c r="P34" s="7" t="str">
        <f t="shared" si="12"/>
        <v/>
      </c>
      <c r="Q34" s="7" t="str">
        <f t="shared" si="13"/>
        <v/>
      </c>
      <c r="R34" s="7" t="str">
        <f t="shared" si="14"/>
        <v/>
      </c>
      <c r="S34" s="7" t="str">
        <f t="shared" si="15"/>
        <v/>
      </c>
      <c r="T34" s="7" t="str">
        <f t="shared" si="16"/>
        <v/>
      </c>
      <c r="U34" s="7" t="str">
        <f t="shared" si="17"/>
        <v/>
      </c>
      <c r="V34" s="7" t="str">
        <f t="shared" si="18"/>
        <v/>
      </c>
      <c r="AA34" s="7" t="str">
        <f>IF(Z34="",[1]Code!H34,Z34)</f>
        <v/>
      </c>
    </row>
    <row r="35" spans="1:27">
      <c r="A35" s="68" t="str">
        <f>IF(Bug!F34="","",Bug!F34)</f>
        <v/>
      </c>
      <c r="B35" s="68" t="str">
        <f t="shared" ca="1" si="0"/>
        <v/>
      </c>
      <c r="C35" s="68" t="str">
        <f t="shared" ca="1" si="1"/>
        <v/>
      </c>
      <c r="D35" s="68" t="str">
        <f t="shared" ca="1" si="2"/>
        <v/>
      </c>
      <c r="E35" s="68" t="str">
        <f t="shared" ca="1" si="3"/>
        <v/>
      </c>
      <c r="F35" s="68" t="str">
        <f t="shared" ca="1" si="4"/>
        <v/>
      </c>
      <c r="G35" s="68" t="str">
        <f t="shared" ca="1" si="5"/>
        <v/>
      </c>
      <c r="H35" s="68" t="str">
        <f t="shared" ca="1" si="6"/>
        <v/>
      </c>
      <c r="I35" s="68" t="str">
        <f ca="1">IF(ISNUMBER(SEARCH("LIVE",H35)),Sheet2!E36, G35)</f>
        <v/>
      </c>
      <c r="J35" s="68" t="str">
        <f ca="1">IF(ISNUMBER(SEARCH("Today",I35)),Sheet2!I35, I35)</f>
        <v/>
      </c>
      <c r="K35" s="7" t="str">
        <f t="shared" ca="1" si="7"/>
        <v/>
      </c>
      <c r="L35" s="7" t="str">
        <f t="shared" si="8"/>
        <v/>
      </c>
      <c r="M35" s="7" t="str">
        <f t="shared" si="9"/>
        <v/>
      </c>
      <c r="N35" s="7" t="str">
        <f t="shared" si="10"/>
        <v/>
      </c>
      <c r="O35" s="7" t="str">
        <f t="shared" si="11"/>
        <v/>
      </c>
      <c r="P35" s="7" t="str">
        <f t="shared" si="12"/>
        <v/>
      </c>
      <c r="Q35" s="7" t="str">
        <f t="shared" si="13"/>
        <v/>
      </c>
      <c r="R35" s="7" t="str">
        <f t="shared" si="14"/>
        <v/>
      </c>
      <c r="S35" s="7" t="str">
        <f t="shared" si="15"/>
        <v/>
      </c>
      <c r="T35" s="7" t="str">
        <f t="shared" si="16"/>
        <v/>
      </c>
      <c r="U35" s="7" t="str">
        <f t="shared" si="17"/>
        <v/>
      </c>
      <c r="V35" s="7" t="str">
        <f t="shared" si="18"/>
        <v/>
      </c>
      <c r="AA35" s="7" t="str">
        <f>IF(Z35="",[1]Code!H35,Z35)</f>
        <v/>
      </c>
    </row>
    <row r="36" spans="1:27">
      <c r="A36" s="68" t="str">
        <f>IF(Bug!F35="","",Bug!F35)</f>
        <v/>
      </c>
      <c r="B36" s="68" t="str">
        <f t="shared" ca="1" si="0"/>
        <v/>
      </c>
      <c r="C36" s="68" t="str">
        <f t="shared" ca="1" si="1"/>
        <v/>
      </c>
      <c r="D36" s="68" t="str">
        <f t="shared" ca="1" si="2"/>
        <v/>
      </c>
      <c r="E36" s="68" t="str">
        <f t="shared" ca="1" si="3"/>
        <v/>
      </c>
      <c r="F36" s="68" t="str">
        <f t="shared" ca="1" si="4"/>
        <v/>
      </c>
      <c r="G36" s="68" t="str">
        <f t="shared" ca="1" si="5"/>
        <v/>
      </c>
      <c r="H36" s="68" t="str">
        <f t="shared" ca="1" si="6"/>
        <v/>
      </c>
      <c r="I36" s="68" t="str">
        <f ca="1">IF(ISNUMBER(SEARCH("LIVE",H36)),Sheet2!E37, G36)</f>
        <v/>
      </c>
      <c r="J36" s="68" t="str">
        <f ca="1">IF(ISNUMBER(SEARCH("Today",I36)),Sheet2!I36, I36)</f>
        <v/>
      </c>
      <c r="K36" s="7" t="str">
        <f t="shared" ca="1" si="7"/>
        <v/>
      </c>
      <c r="L36" s="7" t="str">
        <f t="shared" si="8"/>
        <v/>
      </c>
      <c r="M36" s="7" t="str">
        <f t="shared" si="9"/>
        <v/>
      </c>
      <c r="N36" s="7" t="str">
        <f t="shared" si="10"/>
        <v/>
      </c>
      <c r="O36" s="7" t="str">
        <f t="shared" si="11"/>
        <v/>
      </c>
      <c r="P36" s="7" t="str">
        <f t="shared" si="12"/>
        <v/>
      </c>
      <c r="Q36" s="7" t="str">
        <f t="shared" si="13"/>
        <v/>
      </c>
      <c r="R36" s="7" t="str">
        <f t="shared" si="14"/>
        <v/>
      </c>
      <c r="S36" s="7" t="str">
        <f t="shared" si="15"/>
        <v/>
      </c>
      <c r="T36" s="7" t="str">
        <f t="shared" si="16"/>
        <v/>
      </c>
      <c r="U36" s="7" t="str">
        <f t="shared" si="17"/>
        <v/>
      </c>
      <c r="V36" s="7" t="str">
        <f t="shared" si="18"/>
        <v/>
      </c>
      <c r="AA36" s="7" t="str">
        <f>IF(Z36="",[1]Code!H36,Z36)</f>
        <v/>
      </c>
    </row>
    <row r="37" spans="1:27">
      <c r="A37" s="68" t="str">
        <f>IF(Bug!F36="","",Bug!F36)</f>
        <v/>
      </c>
      <c r="B37" s="68" t="str">
        <f t="shared" ca="1" si="0"/>
        <v/>
      </c>
      <c r="C37" s="68" t="str">
        <f t="shared" ca="1" si="1"/>
        <v/>
      </c>
      <c r="D37" s="68" t="str">
        <f t="shared" ca="1" si="2"/>
        <v/>
      </c>
      <c r="E37" s="68" t="str">
        <f t="shared" ca="1" si="3"/>
        <v/>
      </c>
      <c r="F37" s="68" t="str">
        <f t="shared" ca="1" si="4"/>
        <v/>
      </c>
      <c r="G37" s="68" t="str">
        <f t="shared" ca="1" si="5"/>
        <v/>
      </c>
      <c r="H37" s="68" t="str">
        <f t="shared" ca="1" si="6"/>
        <v/>
      </c>
      <c r="I37" s="68" t="str">
        <f ca="1">IF(ISNUMBER(SEARCH("LIVE",H37)),Sheet2!E38, G37)</f>
        <v/>
      </c>
      <c r="J37" s="68" t="str">
        <f ca="1">IF(ISNUMBER(SEARCH("Today",I37)),Sheet2!I37, I37)</f>
        <v/>
      </c>
      <c r="K37" s="7" t="str">
        <f t="shared" ca="1" si="7"/>
        <v/>
      </c>
      <c r="L37" s="7" t="str">
        <f t="shared" si="8"/>
        <v/>
      </c>
      <c r="M37" s="7" t="str">
        <f t="shared" si="9"/>
        <v/>
      </c>
      <c r="N37" s="7" t="str">
        <f t="shared" si="10"/>
        <v/>
      </c>
      <c r="O37" s="7" t="str">
        <f t="shared" si="11"/>
        <v/>
      </c>
      <c r="P37" s="7" t="str">
        <f t="shared" si="12"/>
        <v/>
      </c>
      <c r="Q37" s="7" t="str">
        <f t="shared" si="13"/>
        <v/>
      </c>
      <c r="R37" s="7" t="str">
        <f t="shared" si="14"/>
        <v/>
      </c>
      <c r="S37" s="7" t="str">
        <f t="shared" si="15"/>
        <v/>
      </c>
      <c r="T37" s="7" t="str">
        <f t="shared" si="16"/>
        <v/>
      </c>
      <c r="U37" s="7" t="str">
        <f t="shared" si="17"/>
        <v/>
      </c>
      <c r="V37" s="7" t="str">
        <f t="shared" si="18"/>
        <v/>
      </c>
      <c r="AA37" s="7" t="str">
        <f>IF(Z37="",[1]Code!H37,Z37)</f>
        <v/>
      </c>
    </row>
    <row r="38" spans="1:27">
      <c r="A38" s="68" t="str">
        <f>IF(Bug!F37="","",Bug!F37)</f>
        <v/>
      </c>
      <c r="B38" s="68" t="str">
        <f t="shared" ca="1" si="0"/>
        <v/>
      </c>
      <c r="C38" s="68" t="str">
        <f t="shared" ca="1" si="1"/>
        <v/>
      </c>
      <c r="D38" s="68" t="str">
        <f t="shared" ca="1" si="2"/>
        <v/>
      </c>
      <c r="E38" s="68" t="str">
        <f t="shared" ca="1" si="3"/>
        <v/>
      </c>
      <c r="F38" s="68" t="str">
        <f t="shared" ca="1" si="4"/>
        <v/>
      </c>
      <c r="G38" s="68" t="str">
        <f t="shared" ca="1" si="5"/>
        <v/>
      </c>
      <c r="H38" s="68" t="str">
        <f t="shared" ca="1" si="6"/>
        <v/>
      </c>
      <c r="I38" s="68" t="str">
        <f ca="1">IF(ISNUMBER(SEARCH("LIVE",H38)),Sheet2!E39, G38)</f>
        <v/>
      </c>
      <c r="J38" s="68" t="str">
        <f ca="1">IF(ISNUMBER(SEARCH("Today",I38)),Sheet2!I38, I38)</f>
        <v/>
      </c>
      <c r="K38" s="7" t="str">
        <f t="shared" ca="1" si="7"/>
        <v/>
      </c>
      <c r="L38" s="7" t="str">
        <f t="shared" si="8"/>
        <v/>
      </c>
      <c r="M38" s="7" t="str">
        <f t="shared" si="9"/>
        <v/>
      </c>
      <c r="N38" s="7" t="str">
        <f t="shared" si="10"/>
        <v/>
      </c>
      <c r="O38" s="7" t="str">
        <f t="shared" si="11"/>
        <v/>
      </c>
      <c r="P38" s="7" t="str">
        <f t="shared" si="12"/>
        <v/>
      </c>
      <c r="Q38" s="7" t="str">
        <f t="shared" si="13"/>
        <v/>
      </c>
      <c r="R38" s="7" t="str">
        <f t="shared" si="14"/>
        <v/>
      </c>
      <c r="S38" s="7" t="str">
        <f t="shared" si="15"/>
        <v/>
      </c>
      <c r="T38" s="7" t="str">
        <f t="shared" si="16"/>
        <v/>
      </c>
      <c r="U38" s="7" t="str">
        <f t="shared" si="17"/>
        <v/>
      </c>
      <c r="V38" s="7" t="str">
        <f t="shared" si="18"/>
        <v/>
      </c>
      <c r="AA38" s="7" t="str">
        <f>IF(Z38="",[1]Code!H38,Z38)</f>
        <v/>
      </c>
    </row>
    <row r="39" spans="1:27">
      <c r="A39" s="68" t="str">
        <f>IF(Bug!F38="","",Bug!F38)</f>
        <v/>
      </c>
      <c r="B39" s="68" t="str">
        <f t="shared" ca="1" si="0"/>
        <v/>
      </c>
      <c r="C39" s="68" t="str">
        <f t="shared" ca="1" si="1"/>
        <v/>
      </c>
      <c r="D39" s="68" t="str">
        <f t="shared" ca="1" si="2"/>
        <v/>
      </c>
      <c r="E39" s="68" t="str">
        <f t="shared" ca="1" si="3"/>
        <v/>
      </c>
      <c r="F39" s="68" t="str">
        <f t="shared" ca="1" si="4"/>
        <v/>
      </c>
      <c r="G39" s="68" t="str">
        <f t="shared" ca="1" si="5"/>
        <v/>
      </c>
      <c r="H39" s="68" t="str">
        <f t="shared" ca="1" si="6"/>
        <v/>
      </c>
      <c r="I39" s="68" t="str">
        <f ca="1">IF(ISNUMBER(SEARCH("LIVE",H39)),Sheet2!E40, G39)</f>
        <v/>
      </c>
      <c r="J39" s="68" t="str">
        <f ca="1">IF(ISNUMBER(SEARCH("Today",I39)),Sheet2!I39, I39)</f>
        <v/>
      </c>
      <c r="K39" s="7" t="str">
        <f t="shared" ca="1" si="7"/>
        <v/>
      </c>
      <c r="L39" s="7" t="str">
        <f t="shared" si="8"/>
        <v/>
      </c>
      <c r="M39" s="7" t="str">
        <f t="shared" si="9"/>
        <v/>
      </c>
      <c r="N39" s="7" t="str">
        <f t="shared" si="10"/>
        <v/>
      </c>
      <c r="O39" s="7" t="str">
        <f t="shared" si="11"/>
        <v/>
      </c>
      <c r="P39" s="7" t="str">
        <f t="shared" si="12"/>
        <v/>
      </c>
      <c r="Q39" s="7" t="str">
        <f t="shared" si="13"/>
        <v/>
      </c>
      <c r="R39" s="7" t="str">
        <f t="shared" si="14"/>
        <v/>
      </c>
      <c r="S39" s="7" t="str">
        <f t="shared" si="15"/>
        <v/>
      </c>
      <c r="T39" s="7" t="str">
        <f t="shared" si="16"/>
        <v/>
      </c>
      <c r="U39" s="7" t="str">
        <f t="shared" si="17"/>
        <v/>
      </c>
      <c r="V39" s="7" t="str">
        <f t="shared" si="18"/>
        <v/>
      </c>
      <c r="AA39" s="7" t="str">
        <f>IF(Z39="",[1]Code!H39,Z39)</f>
        <v/>
      </c>
    </row>
    <row r="40" spans="1:27">
      <c r="A40" s="68" t="str">
        <f>IF(Bug!F39="","",Bug!F39)</f>
        <v/>
      </c>
      <c r="B40" s="68" t="str">
        <f t="shared" ca="1" si="0"/>
        <v/>
      </c>
      <c r="C40" s="68" t="str">
        <f t="shared" ca="1" si="1"/>
        <v/>
      </c>
      <c r="D40" s="68" t="str">
        <f t="shared" ca="1" si="2"/>
        <v/>
      </c>
      <c r="E40" s="68" t="str">
        <f t="shared" ca="1" si="3"/>
        <v/>
      </c>
      <c r="F40" s="68" t="str">
        <f t="shared" ca="1" si="4"/>
        <v/>
      </c>
      <c r="G40" s="68" t="str">
        <f t="shared" ca="1" si="5"/>
        <v/>
      </c>
      <c r="H40" s="68" t="str">
        <f t="shared" ca="1" si="6"/>
        <v/>
      </c>
      <c r="I40" s="68" t="str">
        <f ca="1">IF(ISNUMBER(SEARCH("LIVE",H40)),Sheet2!E41, G40)</f>
        <v/>
      </c>
      <c r="J40" s="68" t="str">
        <f ca="1">IF(ISNUMBER(SEARCH("Today",I40)),Sheet2!I40, I40)</f>
        <v/>
      </c>
      <c r="K40" s="7" t="str">
        <f t="shared" ca="1" si="7"/>
        <v/>
      </c>
      <c r="L40" s="7" t="str">
        <f t="shared" si="8"/>
        <v/>
      </c>
      <c r="M40" s="7" t="str">
        <f t="shared" si="9"/>
        <v/>
      </c>
      <c r="N40" s="7" t="str">
        <f t="shared" si="10"/>
        <v/>
      </c>
      <c r="O40" s="7" t="str">
        <f t="shared" si="11"/>
        <v/>
      </c>
      <c r="P40" s="7" t="str">
        <f t="shared" si="12"/>
        <v/>
      </c>
      <c r="Q40" s="7" t="str">
        <f t="shared" si="13"/>
        <v/>
      </c>
      <c r="R40" s="7" t="str">
        <f t="shared" si="14"/>
        <v/>
      </c>
      <c r="S40" s="7" t="str">
        <f t="shared" si="15"/>
        <v/>
      </c>
      <c r="T40" s="7" t="str">
        <f t="shared" si="16"/>
        <v/>
      </c>
      <c r="U40" s="7" t="str">
        <f t="shared" si="17"/>
        <v/>
      </c>
      <c r="V40" s="7" t="str">
        <f t="shared" si="18"/>
        <v/>
      </c>
      <c r="AA40" s="7" t="str">
        <f>IF(Z40="",[1]Code!H40,Z40)</f>
        <v/>
      </c>
    </row>
    <row r="41" spans="1:27">
      <c r="A41" s="68" t="str">
        <f>IF(Bug!F40="","",Bug!F40)</f>
        <v/>
      </c>
      <c r="B41" s="68" t="str">
        <f t="shared" ca="1" si="0"/>
        <v/>
      </c>
      <c r="C41" s="68" t="str">
        <f t="shared" ca="1" si="1"/>
        <v/>
      </c>
      <c r="D41" s="68" t="str">
        <f t="shared" ca="1" si="2"/>
        <v/>
      </c>
      <c r="E41" s="68" t="str">
        <f t="shared" ca="1" si="3"/>
        <v/>
      </c>
      <c r="F41" s="68" t="str">
        <f t="shared" ca="1" si="4"/>
        <v/>
      </c>
      <c r="G41" s="68" t="str">
        <f t="shared" ca="1" si="5"/>
        <v/>
      </c>
      <c r="H41" s="68" t="str">
        <f t="shared" ca="1" si="6"/>
        <v/>
      </c>
      <c r="I41" s="68" t="str">
        <f ca="1">IF(ISNUMBER(SEARCH("LIVE",H41)),Sheet2!E42, G41)</f>
        <v/>
      </c>
      <c r="J41" s="68" t="str">
        <f ca="1">IF(ISNUMBER(SEARCH("Today",I41)),Sheet2!I41, I41)</f>
        <v/>
      </c>
      <c r="K41" s="7" t="str">
        <f t="shared" ref="K41:K61" ca="1" si="19">TEXT(J41, "mm/dd")</f>
        <v/>
      </c>
      <c r="L41" s="7" t="str">
        <f t="shared" si="8"/>
        <v/>
      </c>
      <c r="M41" s="7" t="str">
        <f t="shared" si="9"/>
        <v/>
      </c>
      <c r="N41" s="7" t="str">
        <f t="shared" si="10"/>
        <v/>
      </c>
      <c r="O41" s="7" t="str">
        <f t="shared" si="11"/>
        <v/>
      </c>
      <c r="P41" s="7" t="str">
        <f t="shared" si="12"/>
        <v/>
      </c>
      <c r="Q41" s="7" t="str">
        <f t="shared" si="13"/>
        <v/>
      </c>
      <c r="R41" s="7" t="str">
        <f t="shared" si="14"/>
        <v/>
      </c>
      <c r="S41" s="7" t="str">
        <f t="shared" si="15"/>
        <v/>
      </c>
      <c r="U41" s="7">
        <f t="shared" si="17"/>
        <v>0</v>
      </c>
      <c r="V41" s="7">
        <f t="shared" si="18"/>
        <v>0</v>
      </c>
      <c r="AA41" s="7" t="str">
        <f>IF(Z41="",[1]Code!H41,Z41)</f>
        <v/>
      </c>
    </row>
    <row r="42" spans="1:27">
      <c r="A42" s="68" t="str">
        <f>IF(Bug!F41="","",Bug!F41)</f>
        <v/>
      </c>
      <c r="B42" s="68" t="str">
        <f t="shared" ca="1" si="0"/>
        <v/>
      </c>
      <c r="C42" s="68" t="str">
        <f t="shared" ca="1" si="1"/>
        <v/>
      </c>
      <c r="D42" s="68" t="str">
        <f t="shared" ca="1" si="2"/>
        <v/>
      </c>
      <c r="E42" s="68" t="str">
        <f t="shared" ca="1" si="3"/>
        <v/>
      </c>
      <c r="F42" s="68" t="str">
        <f t="shared" ca="1" si="4"/>
        <v/>
      </c>
      <c r="G42" s="68" t="str">
        <f t="shared" ca="1" si="5"/>
        <v/>
      </c>
      <c r="H42" s="68" t="str">
        <f t="shared" ca="1" si="6"/>
        <v/>
      </c>
      <c r="I42" s="68" t="str">
        <f ca="1">IF(ISNUMBER(SEARCH("LIVE",H42)),Sheet2!E43, G42)</f>
        <v/>
      </c>
      <c r="J42" s="68" t="str">
        <f ca="1">IF(ISNUMBER(SEARCH("Today",I42)),Sheet2!I42, I42)</f>
        <v/>
      </c>
      <c r="K42" s="7" t="str">
        <f t="shared" ca="1" si="19"/>
        <v/>
      </c>
      <c r="L42" s="7" t="str">
        <f t="shared" si="8"/>
        <v/>
      </c>
      <c r="M42" s="7" t="str">
        <f t="shared" si="9"/>
        <v/>
      </c>
      <c r="N42" s="7" t="str">
        <f t="shared" si="10"/>
        <v/>
      </c>
      <c r="O42" s="7" t="str">
        <f t="shared" si="11"/>
        <v/>
      </c>
      <c r="P42" s="7" t="str">
        <f t="shared" si="12"/>
        <v/>
      </c>
      <c r="Q42" s="7" t="str">
        <f t="shared" si="13"/>
        <v/>
      </c>
      <c r="R42" s="7" t="str">
        <f t="shared" si="14"/>
        <v/>
      </c>
      <c r="S42" s="7" t="str">
        <f t="shared" si="15"/>
        <v/>
      </c>
      <c r="U42" s="7">
        <f t="shared" si="17"/>
        <v>0</v>
      </c>
      <c r="V42" s="7">
        <f t="shared" si="18"/>
        <v>0</v>
      </c>
      <c r="AA42" s="7" t="str">
        <f>IF(Z42="",[1]Code!H42,Z42)</f>
        <v/>
      </c>
    </row>
    <row r="43" spans="1:27">
      <c r="A43" s="68" t="str">
        <f>IF(Bug!F42="","",Bug!F42)</f>
        <v/>
      </c>
      <c r="B43" s="68" t="str">
        <f t="shared" ca="1" si="0"/>
        <v/>
      </c>
      <c r="C43" s="68" t="str">
        <f t="shared" ca="1" si="1"/>
        <v/>
      </c>
      <c r="D43" s="68" t="str">
        <f t="shared" ca="1" si="2"/>
        <v/>
      </c>
      <c r="E43" s="68" t="str">
        <f t="shared" ca="1" si="3"/>
        <v/>
      </c>
      <c r="F43" s="68" t="str">
        <f t="shared" ca="1" si="4"/>
        <v/>
      </c>
      <c r="G43" s="68" t="str">
        <f t="shared" ca="1" si="5"/>
        <v/>
      </c>
      <c r="H43" s="68" t="str">
        <f t="shared" ca="1" si="6"/>
        <v/>
      </c>
      <c r="I43" s="68" t="str">
        <f ca="1">IF(ISNUMBER(SEARCH("LIVE",H43)),Sheet2!E44, G43)</f>
        <v/>
      </c>
      <c r="J43" s="68" t="str">
        <f ca="1">IF(ISNUMBER(SEARCH("Today",I43)),Sheet2!I43, I43)</f>
        <v/>
      </c>
      <c r="K43" s="7" t="str">
        <f t="shared" ca="1" si="19"/>
        <v/>
      </c>
      <c r="L43" s="7" t="str">
        <f t="shared" si="8"/>
        <v/>
      </c>
      <c r="M43" s="7" t="str">
        <f t="shared" si="9"/>
        <v/>
      </c>
      <c r="N43" s="7" t="str">
        <f t="shared" si="10"/>
        <v/>
      </c>
      <c r="O43" s="7" t="str">
        <f t="shared" si="11"/>
        <v/>
      </c>
      <c r="P43" s="7" t="str">
        <f t="shared" si="12"/>
        <v/>
      </c>
      <c r="Q43" s="7" t="str">
        <f t="shared" si="13"/>
        <v/>
      </c>
      <c r="R43" s="7" t="str">
        <f t="shared" si="14"/>
        <v/>
      </c>
      <c r="S43" s="7" t="str">
        <f t="shared" si="15"/>
        <v/>
      </c>
      <c r="U43" s="7">
        <f t="shared" si="17"/>
        <v>0</v>
      </c>
      <c r="V43" s="7">
        <f t="shared" si="18"/>
        <v>0</v>
      </c>
      <c r="AA43" s="7" t="str">
        <f>IF(Z43="",[1]Code!H43,Z43)</f>
        <v/>
      </c>
    </row>
    <row r="44" spans="1:27">
      <c r="A44" s="68" t="str">
        <f>IF(Bug!F43="","",Bug!F43)</f>
        <v/>
      </c>
      <c r="B44" s="68" t="str">
        <f t="shared" ca="1" si="0"/>
        <v/>
      </c>
      <c r="C44" s="68" t="str">
        <f t="shared" ca="1" si="1"/>
        <v/>
      </c>
      <c r="D44" s="68" t="str">
        <f t="shared" ca="1" si="2"/>
        <v/>
      </c>
      <c r="E44" s="68" t="str">
        <f t="shared" ca="1" si="3"/>
        <v/>
      </c>
      <c r="F44" s="68" t="str">
        <f t="shared" ca="1" si="4"/>
        <v/>
      </c>
      <c r="G44" s="68" t="str">
        <f t="shared" ca="1" si="5"/>
        <v/>
      </c>
      <c r="H44" s="68" t="str">
        <f t="shared" ca="1" si="6"/>
        <v/>
      </c>
      <c r="I44" s="68" t="str">
        <f ca="1">IF(ISNUMBER(SEARCH("LIVE",H44)),Sheet2!E45, G44)</f>
        <v/>
      </c>
      <c r="J44" s="68" t="str">
        <f ca="1">IF(ISNUMBER(SEARCH("Today",I44)),Sheet2!I44, I44)</f>
        <v/>
      </c>
      <c r="K44" s="7" t="str">
        <f t="shared" ca="1" si="19"/>
        <v/>
      </c>
      <c r="L44" s="7" t="str">
        <f t="shared" si="8"/>
        <v/>
      </c>
      <c r="M44" s="7" t="str">
        <f t="shared" si="9"/>
        <v/>
      </c>
      <c r="N44" s="7" t="str">
        <f t="shared" si="10"/>
        <v/>
      </c>
      <c r="O44" s="7" t="str">
        <f t="shared" si="11"/>
        <v/>
      </c>
      <c r="P44" s="7" t="str">
        <f t="shared" si="12"/>
        <v/>
      </c>
      <c r="Q44" s="7" t="str">
        <f t="shared" si="13"/>
        <v/>
      </c>
      <c r="R44" s="7" t="str">
        <f t="shared" si="14"/>
        <v/>
      </c>
      <c r="S44" s="7" t="str">
        <f t="shared" si="15"/>
        <v/>
      </c>
      <c r="U44" s="7">
        <f t="shared" si="17"/>
        <v>0</v>
      </c>
      <c r="V44" s="7">
        <f t="shared" si="18"/>
        <v>0</v>
      </c>
      <c r="AA44" s="7" t="str">
        <f>IF(Z44="",[1]Code!H44,Z44)</f>
        <v/>
      </c>
    </row>
    <row r="45" spans="1:27">
      <c r="A45" s="68" t="str">
        <f>IF(Bug!F44="","",Bug!F44)</f>
        <v/>
      </c>
      <c r="B45" s="68" t="str">
        <f t="shared" ca="1" si="0"/>
        <v/>
      </c>
      <c r="C45" s="68" t="str">
        <f t="shared" ca="1" si="1"/>
        <v/>
      </c>
      <c r="D45" s="68" t="str">
        <f t="shared" ca="1" si="2"/>
        <v/>
      </c>
      <c r="E45" s="68" t="str">
        <f t="shared" ca="1" si="3"/>
        <v/>
      </c>
      <c r="F45" s="68" t="str">
        <f t="shared" ca="1" si="4"/>
        <v/>
      </c>
      <c r="G45" s="68" t="str">
        <f t="shared" ca="1" si="5"/>
        <v/>
      </c>
      <c r="H45" s="68" t="str">
        <f t="shared" ca="1" si="6"/>
        <v/>
      </c>
      <c r="I45" s="68" t="str">
        <f ca="1">IF(ISNUMBER(SEARCH("LIVE",H45)),Sheet2!E46, G45)</f>
        <v/>
      </c>
      <c r="J45" s="68" t="str">
        <f ca="1">IF(ISNUMBER(SEARCH("Today",I45)),Sheet2!I45, I45)</f>
        <v/>
      </c>
      <c r="K45" s="7" t="str">
        <f t="shared" ca="1" si="19"/>
        <v/>
      </c>
      <c r="L45" s="7" t="str">
        <f t="shared" si="8"/>
        <v/>
      </c>
      <c r="M45" s="7" t="str">
        <f t="shared" si="9"/>
        <v/>
      </c>
      <c r="N45" s="7" t="str">
        <f t="shared" si="10"/>
        <v/>
      </c>
      <c r="O45" s="7" t="str">
        <f t="shared" si="11"/>
        <v/>
      </c>
      <c r="P45" s="7" t="str">
        <f t="shared" si="12"/>
        <v/>
      </c>
      <c r="Q45" s="7" t="str">
        <f t="shared" si="13"/>
        <v/>
      </c>
      <c r="R45" s="7" t="str">
        <f t="shared" si="14"/>
        <v/>
      </c>
      <c r="S45" s="7" t="str">
        <f t="shared" si="15"/>
        <v/>
      </c>
      <c r="U45" s="7">
        <f t="shared" si="17"/>
        <v>0</v>
      </c>
      <c r="V45" s="7">
        <f t="shared" si="18"/>
        <v>0</v>
      </c>
      <c r="AA45" s="7" t="str">
        <f>IF(Z45="",[1]Code!H45,Z45)</f>
        <v/>
      </c>
    </row>
    <row r="46" spans="1:27">
      <c r="A46" s="68" t="str">
        <f>IF(Bug!F45="","",Bug!F45)</f>
        <v/>
      </c>
      <c r="B46" s="68" t="str">
        <f t="shared" ca="1" si="0"/>
        <v/>
      </c>
      <c r="C46" s="68" t="str">
        <f t="shared" ca="1" si="1"/>
        <v/>
      </c>
      <c r="D46" s="68" t="str">
        <f t="shared" ca="1" si="2"/>
        <v/>
      </c>
      <c r="E46" s="68" t="str">
        <f t="shared" ca="1" si="3"/>
        <v/>
      </c>
      <c r="F46" s="68" t="str">
        <f t="shared" ca="1" si="4"/>
        <v/>
      </c>
      <c r="G46" s="68" t="str">
        <f t="shared" ca="1" si="5"/>
        <v/>
      </c>
      <c r="H46" s="68" t="str">
        <f t="shared" ca="1" si="6"/>
        <v/>
      </c>
      <c r="I46" s="68" t="str">
        <f ca="1">IF(ISNUMBER(SEARCH("LIVE",H46)),Sheet2!E47, G46)</f>
        <v/>
      </c>
      <c r="J46" s="68" t="str">
        <f ca="1">IF(ISNUMBER(SEARCH("Today",I46)),Sheet2!I46, I46)</f>
        <v/>
      </c>
      <c r="K46" s="7" t="str">
        <f t="shared" ca="1" si="19"/>
        <v/>
      </c>
      <c r="L46" s="7" t="str">
        <f t="shared" si="8"/>
        <v/>
      </c>
      <c r="M46" s="7" t="str">
        <f t="shared" si="9"/>
        <v/>
      </c>
      <c r="N46" s="7" t="str">
        <f t="shared" si="10"/>
        <v/>
      </c>
      <c r="O46" s="7" t="str">
        <f t="shared" si="11"/>
        <v/>
      </c>
      <c r="P46" s="7" t="str">
        <f t="shared" si="12"/>
        <v/>
      </c>
      <c r="Q46" s="7" t="str">
        <f t="shared" si="13"/>
        <v/>
      </c>
      <c r="R46" s="7" t="str">
        <f t="shared" si="14"/>
        <v/>
      </c>
      <c r="S46" s="7" t="str">
        <f t="shared" si="15"/>
        <v/>
      </c>
      <c r="U46" s="7">
        <f t="shared" si="17"/>
        <v>0</v>
      </c>
      <c r="V46" s="7">
        <f t="shared" si="18"/>
        <v>0</v>
      </c>
      <c r="AA46" s="7" t="str">
        <f>IF(Z46="",[1]Code!H46,Z46)</f>
        <v/>
      </c>
    </row>
    <row r="47" spans="1:27">
      <c r="A47" s="68" t="str">
        <f>IF(Bug!F46="","",Bug!F46)</f>
        <v/>
      </c>
      <c r="B47" s="68" t="str">
        <f t="shared" ca="1" si="0"/>
        <v/>
      </c>
      <c r="C47" s="68" t="str">
        <f t="shared" ca="1" si="1"/>
        <v/>
      </c>
      <c r="D47" s="68" t="str">
        <f t="shared" ca="1" si="2"/>
        <v/>
      </c>
      <c r="E47" s="68" t="str">
        <f t="shared" ca="1" si="3"/>
        <v/>
      </c>
      <c r="F47" s="68" t="str">
        <f t="shared" ca="1" si="4"/>
        <v/>
      </c>
      <c r="G47" s="68" t="str">
        <f t="shared" ca="1" si="5"/>
        <v/>
      </c>
      <c r="H47" s="68" t="str">
        <f t="shared" ca="1" si="6"/>
        <v/>
      </c>
      <c r="I47" s="68" t="str">
        <f ca="1">IF(ISNUMBER(SEARCH("LIVE",H47)),Sheet2!E48, G47)</f>
        <v/>
      </c>
      <c r="J47" s="68" t="str">
        <f ca="1">IF(ISNUMBER(SEARCH("Today",I47)),Sheet2!I47, I47)</f>
        <v/>
      </c>
      <c r="K47" s="7" t="str">
        <f t="shared" ca="1" si="19"/>
        <v/>
      </c>
      <c r="L47" s="7" t="str">
        <f t="shared" si="8"/>
        <v/>
      </c>
      <c r="M47" s="7" t="str">
        <f t="shared" si="9"/>
        <v/>
      </c>
      <c r="N47" s="7" t="str">
        <f t="shared" si="10"/>
        <v/>
      </c>
      <c r="O47" s="7" t="str">
        <f t="shared" si="11"/>
        <v/>
      </c>
      <c r="P47" s="7" t="str">
        <f t="shared" si="12"/>
        <v/>
      </c>
      <c r="Q47" s="7" t="str">
        <f t="shared" si="13"/>
        <v/>
      </c>
      <c r="R47" s="7" t="str">
        <f t="shared" si="14"/>
        <v/>
      </c>
      <c r="S47" s="7" t="str">
        <f t="shared" si="15"/>
        <v/>
      </c>
      <c r="U47" s="7">
        <f t="shared" si="17"/>
        <v>0</v>
      </c>
      <c r="V47" s="7">
        <f t="shared" si="18"/>
        <v>0</v>
      </c>
      <c r="AA47" s="7" t="str">
        <f>IF(Z47="",[1]Code!H47,Z47)</f>
        <v/>
      </c>
    </row>
    <row r="48" spans="1:27">
      <c r="A48" s="68" t="str">
        <f>IF(Bug!F47="","",Bug!F47)</f>
        <v/>
      </c>
      <c r="B48" s="68" t="str">
        <f t="shared" ca="1" si="0"/>
        <v/>
      </c>
      <c r="C48" s="68" t="str">
        <f t="shared" ca="1" si="1"/>
        <v/>
      </c>
      <c r="D48" s="68" t="str">
        <f t="shared" ca="1" si="2"/>
        <v/>
      </c>
      <c r="E48" s="68" t="str">
        <f t="shared" ca="1" si="3"/>
        <v/>
      </c>
      <c r="F48" s="68" t="str">
        <f t="shared" ca="1" si="4"/>
        <v/>
      </c>
      <c r="G48" s="68" t="str">
        <f t="shared" ca="1" si="5"/>
        <v/>
      </c>
      <c r="H48" s="68" t="str">
        <f t="shared" ca="1" si="6"/>
        <v/>
      </c>
      <c r="I48" s="68" t="str">
        <f ca="1">IF(ISNUMBER(SEARCH("LIVE",H48)),Sheet2!E49, G48)</f>
        <v/>
      </c>
      <c r="J48" s="68" t="str">
        <f ca="1">IF(ISNUMBER(SEARCH("Today",I48)),Sheet2!I48, I48)</f>
        <v/>
      </c>
      <c r="K48" s="7" t="str">
        <f t="shared" ca="1" si="19"/>
        <v/>
      </c>
      <c r="L48" s="7" t="str">
        <f t="shared" si="8"/>
        <v/>
      </c>
      <c r="M48" s="7" t="str">
        <f t="shared" si="9"/>
        <v/>
      </c>
      <c r="N48" s="7" t="str">
        <f t="shared" si="10"/>
        <v/>
      </c>
      <c r="O48" s="7" t="str">
        <f t="shared" si="11"/>
        <v/>
      </c>
      <c r="P48" s="7" t="str">
        <f t="shared" si="12"/>
        <v/>
      </c>
      <c r="Q48" s="7" t="str">
        <f t="shared" si="13"/>
        <v/>
      </c>
      <c r="R48" s="7" t="str">
        <f t="shared" si="14"/>
        <v/>
      </c>
      <c r="S48" s="7" t="str">
        <f t="shared" si="15"/>
        <v/>
      </c>
      <c r="U48" s="7">
        <f t="shared" si="17"/>
        <v>0</v>
      </c>
      <c r="V48" s="7">
        <f t="shared" si="18"/>
        <v>0</v>
      </c>
      <c r="AA48" s="7" t="str">
        <f>IF(Z48="",[1]Code!H48,Z48)</f>
        <v/>
      </c>
    </row>
    <row r="49" spans="1:27">
      <c r="A49" s="68" t="str">
        <f>IF(Bug!F48="","",Bug!F48)</f>
        <v/>
      </c>
      <c r="B49" s="68" t="str">
        <f t="shared" ca="1" si="0"/>
        <v/>
      </c>
      <c r="C49" s="68" t="str">
        <f t="shared" ca="1" si="1"/>
        <v/>
      </c>
      <c r="D49" s="68" t="str">
        <f t="shared" ca="1" si="2"/>
        <v/>
      </c>
      <c r="E49" s="68" t="str">
        <f t="shared" ca="1" si="3"/>
        <v/>
      </c>
      <c r="F49" s="68" t="str">
        <f t="shared" ca="1" si="4"/>
        <v/>
      </c>
      <c r="G49" s="68" t="str">
        <f t="shared" ca="1" si="5"/>
        <v/>
      </c>
      <c r="H49" s="68" t="str">
        <f t="shared" ca="1" si="6"/>
        <v/>
      </c>
      <c r="I49" s="68" t="str">
        <f ca="1">IF(ISNUMBER(SEARCH("LIVE",H49)),Sheet2!E50, G49)</f>
        <v/>
      </c>
      <c r="J49" s="68" t="str">
        <f ca="1">IF(ISNUMBER(SEARCH("Today",I49)),Sheet2!I50, I49)</f>
        <v/>
      </c>
      <c r="K49" s="7" t="str">
        <f t="shared" ca="1" si="19"/>
        <v/>
      </c>
      <c r="L49" s="7" t="str">
        <f t="shared" si="8"/>
        <v/>
      </c>
      <c r="M49" s="7" t="str">
        <f t="shared" si="9"/>
        <v/>
      </c>
      <c r="N49" s="7" t="str">
        <f t="shared" si="10"/>
        <v/>
      </c>
      <c r="O49" s="7" t="str">
        <f t="shared" si="11"/>
        <v/>
      </c>
      <c r="P49" s="7" t="str">
        <f t="shared" si="12"/>
        <v/>
      </c>
      <c r="Q49" s="7" t="str">
        <f t="shared" si="13"/>
        <v/>
      </c>
      <c r="R49" s="7" t="str">
        <f t="shared" si="14"/>
        <v/>
      </c>
      <c r="S49" s="7" t="str">
        <f t="shared" si="15"/>
        <v/>
      </c>
      <c r="U49" s="7">
        <f t="shared" si="17"/>
        <v>0</v>
      </c>
      <c r="V49" s="7">
        <f t="shared" si="18"/>
        <v>0</v>
      </c>
      <c r="AA49" s="7" t="str">
        <f>IF(Z49="",[1]Code!H49,Z49)</f>
        <v/>
      </c>
    </row>
    <row r="50" spans="1:27">
      <c r="A50" s="68" t="str">
        <f>IF(Bug!F49="","",Bug!F49)</f>
        <v/>
      </c>
      <c r="B50" s="68" t="str">
        <f t="shared" ca="1" si="0"/>
        <v/>
      </c>
      <c r="C50" s="68" t="str">
        <f t="shared" ca="1" si="1"/>
        <v/>
      </c>
      <c r="D50" s="68" t="str">
        <f t="shared" ca="1" si="2"/>
        <v/>
      </c>
      <c r="E50" s="68" t="str">
        <f t="shared" ca="1" si="3"/>
        <v/>
      </c>
      <c r="F50" s="68" t="str">
        <f t="shared" ca="1" si="4"/>
        <v/>
      </c>
      <c r="G50" s="68" t="str">
        <f t="shared" ca="1" si="5"/>
        <v/>
      </c>
      <c r="H50" s="68" t="str">
        <f t="shared" ca="1" si="6"/>
        <v/>
      </c>
      <c r="I50" s="68" t="str">
        <f ca="1">IF(ISNUMBER(SEARCH("LIVE",H50)),Sheet2!E51, G50)</f>
        <v/>
      </c>
      <c r="J50" s="68" t="str">
        <f ca="1">IF(ISNUMBER(SEARCH("Today",I50)),Sheet2!I51, I50)</f>
        <v/>
      </c>
      <c r="K50" s="7" t="str">
        <f t="shared" ca="1" si="19"/>
        <v/>
      </c>
      <c r="L50" s="7" t="str">
        <f t="shared" si="8"/>
        <v/>
      </c>
      <c r="M50" s="7" t="str">
        <f t="shared" si="9"/>
        <v/>
      </c>
      <c r="N50" s="7" t="str">
        <f t="shared" si="10"/>
        <v/>
      </c>
      <c r="O50" s="7" t="str">
        <f t="shared" si="11"/>
        <v/>
      </c>
      <c r="P50" s="7" t="str">
        <f t="shared" si="12"/>
        <v/>
      </c>
      <c r="Q50" s="7" t="str">
        <f t="shared" si="13"/>
        <v/>
      </c>
      <c r="R50" s="7" t="str">
        <f t="shared" si="14"/>
        <v/>
      </c>
      <c r="S50" s="7" t="str">
        <f t="shared" si="15"/>
        <v/>
      </c>
      <c r="U50" s="7">
        <f t="shared" si="17"/>
        <v>0</v>
      </c>
      <c r="V50" s="7">
        <f t="shared" si="18"/>
        <v>0</v>
      </c>
      <c r="AA50" s="7" t="str">
        <f>IF(Z50="",[1]Code!H50,Z50)</f>
        <v/>
      </c>
    </row>
    <row r="51" spans="1:27">
      <c r="A51" s="68" t="str">
        <f>IF(Bug!F50="","",Bug!F50)</f>
        <v/>
      </c>
      <c r="B51" s="68" t="str">
        <f t="shared" ca="1" si="0"/>
        <v/>
      </c>
      <c r="C51" s="68" t="str">
        <f t="shared" ca="1" si="1"/>
        <v/>
      </c>
      <c r="D51" s="68" t="str">
        <f t="shared" ca="1" si="2"/>
        <v/>
      </c>
      <c r="E51" s="68" t="str">
        <f t="shared" ca="1" si="3"/>
        <v/>
      </c>
      <c r="F51" s="68" t="str">
        <f t="shared" ca="1" si="4"/>
        <v/>
      </c>
      <c r="G51" s="68" t="str">
        <f t="shared" ca="1" si="5"/>
        <v/>
      </c>
      <c r="H51" s="68" t="str">
        <f t="shared" ca="1" si="6"/>
        <v/>
      </c>
      <c r="I51" s="68" t="str">
        <f t="shared" ref="I51:I57" ca="1" si="20">IF(ISNUMBER(SEARCH("LIVE",H51)),(1-WEEKDAY(TODAY())+TODAY()), H51)</f>
        <v/>
      </c>
      <c r="J51" s="68" t="str">
        <f ca="1">IF(ISNUMBER(SEARCH("Today",I51)),Sheet2!I52, I51)</f>
        <v/>
      </c>
      <c r="K51" s="7" t="str">
        <f t="shared" ca="1" si="19"/>
        <v/>
      </c>
      <c r="L51" s="7" t="str">
        <f t="shared" si="8"/>
        <v/>
      </c>
      <c r="M51" s="7" t="str">
        <f t="shared" si="9"/>
        <v/>
      </c>
      <c r="N51" s="7" t="str">
        <f t="shared" si="10"/>
        <v/>
      </c>
      <c r="O51" s="7" t="str">
        <f t="shared" si="11"/>
        <v/>
      </c>
      <c r="P51" s="7" t="str">
        <f t="shared" si="12"/>
        <v/>
      </c>
      <c r="Q51" s="7" t="str">
        <f t="shared" si="13"/>
        <v/>
      </c>
      <c r="R51" s="7" t="str">
        <f t="shared" si="14"/>
        <v/>
      </c>
      <c r="S51" s="7" t="str">
        <f t="shared" si="15"/>
        <v/>
      </c>
      <c r="U51" s="7">
        <f t="shared" si="17"/>
        <v>0</v>
      </c>
      <c r="V51" s="7">
        <f t="shared" si="18"/>
        <v>0</v>
      </c>
      <c r="AA51" s="7" t="str">
        <f>IF(Z51="",[1]Code!H51,Z51)</f>
        <v/>
      </c>
    </row>
    <row r="52" spans="1:27">
      <c r="A52" s="68" t="str">
        <f>IF(Bug!F51="","",Bug!F51)</f>
        <v/>
      </c>
      <c r="B52" s="68" t="str">
        <f t="shared" ca="1" si="0"/>
        <v/>
      </c>
      <c r="C52" s="68" t="str">
        <f t="shared" ca="1" si="1"/>
        <v/>
      </c>
      <c r="D52" s="68" t="str">
        <f t="shared" ca="1" si="2"/>
        <v/>
      </c>
      <c r="E52" s="68" t="str">
        <f t="shared" ca="1" si="3"/>
        <v/>
      </c>
      <c r="F52" s="68" t="str">
        <f t="shared" ca="1" si="4"/>
        <v/>
      </c>
      <c r="G52" s="68" t="str">
        <f t="shared" ca="1" si="5"/>
        <v/>
      </c>
      <c r="H52" s="68" t="str">
        <f t="shared" ca="1" si="6"/>
        <v/>
      </c>
      <c r="I52" s="68" t="str">
        <f t="shared" ca="1" si="20"/>
        <v/>
      </c>
      <c r="J52" s="68" t="str">
        <f ca="1">IF(ISNUMBER(SEARCH("Today",I52)),Sheet2!E53, I52)</f>
        <v/>
      </c>
      <c r="K52" s="7" t="str">
        <f t="shared" ca="1" si="19"/>
        <v/>
      </c>
      <c r="L52" s="7" t="str">
        <f t="shared" si="8"/>
        <v/>
      </c>
      <c r="M52" s="7" t="str">
        <f t="shared" si="9"/>
        <v/>
      </c>
      <c r="N52" s="7" t="str">
        <f t="shared" si="10"/>
        <v/>
      </c>
      <c r="O52" s="7" t="str">
        <f t="shared" si="11"/>
        <v/>
      </c>
      <c r="P52" s="7" t="str">
        <f t="shared" si="12"/>
        <v/>
      </c>
      <c r="Q52" s="7" t="str">
        <f t="shared" si="13"/>
        <v/>
      </c>
      <c r="R52" s="7" t="str">
        <f t="shared" si="14"/>
        <v/>
      </c>
      <c r="S52" s="7" t="str">
        <f t="shared" si="15"/>
        <v/>
      </c>
      <c r="U52" s="7">
        <f t="shared" si="17"/>
        <v>0</v>
      </c>
      <c r="V52" s="7">
        <f t="shared" si="18"/>
        <v>0</v>
      </c>
      <c r="AA52" s="7" t="str">
        <f>IF(Z52="",[1]Code!H52,Z52)</f>
        <v/>
      </c>
    </row>
    <row r="53" spans="1:27">
      <c r="A53" s="68" t="str">
        <f>IF(Bug!F52="","",Bug!F52)</f>
        <v/>
      </c>
      <c r="B53" s="68" t="str">
        <f t="shared" ca="1" si="0"/>
        <v/>
      </c>
      <c r="C53" s="68" t="str">
        <f t="shared" ca="1" si="1"/>
        <v/>
      </c>
      <c r="D53" s="68" t="str">
        <f t="shared" ca="1" si="2"/>
        <v/>
      </c>
      <c r="E53" s="68" t="str">
        <f t="shared" ca="1" si="3"/>
        <v/>
      </c>
      <c r="F53" s="68" t="str">
        <f t="shared" ca="1" si="4"/>
        <v/>
      </c>
      <c r="G53" s="68" t="str">
        <f t="shared" ca="1" si="5"/>
        <v/>
      </c>
      <c r="H53" s="68" t="str">
        <f t="shared" ca="1" si="6"/>
        <v/>
      </c>
      <c r="I53" s="68" t="str">
        <f t="shared" ca="1" si="20"/>
        <v/>
      </c>
      <c r="J53" s="68" t="str">
        <f ca="1">IF(ISNUMBER(SEARCH("Today",I53)),Sheet2!E54, I53)</f>
        <v/>
      </c>
      <c r="K53" s="7" t="str">
        <f t="shared" ca="1" si="19"/>
        <v/>
      </c>
      <c r="L53" s="7" t="str">
        <f t="shared" si="8"/>
        <v/>
      </c>
      <c r="M53" s="7" t="str">
        <f t="shared" si="9"/>
        <v/>
      </c>
      <c r="N53" s="7" t="str">
        <f t="shared" si="10"/>
        <v/>
      </c>
      <c r="O53" s="7" t="str">
        <f t="shared" si="11"/>
        <v/>
      </c>
      <c r="P53" s="7" t="str">
        <f t="shared" si="12"/>
        <v/>
      </c>
      <c r="Q53" s="7" t="str">
        <f t="shared" si="13"/>
        <v/>
      </c>
      <c r="R53" s="7" t="str">
        <f t="shared" si="14"/>
        <v/>
      </c>
      <c r="S53" s="7" t="str">
        <f t="shared" si="15"/>
        <v/>
      </c>
      <c r="U53" s="7">
        <f t="shared" si="17"/>
        <v>0</v>
      </c>
      <c r="V53" s="7">
        <f t="shared" si="18"/>
        <v>0</v>
      </c>
      <c r="AA53" s="7" t="str">
        <f>IF(Z53="",[1]Code!H53,Z53)</f>
        <v/>
      </c>
    </row>
    <row r="54" spans="1:27">
      <c r="A54" s="68" t="str">
        <f>IF(Bug!F53="","",Bug!F53)</f>
        <v/>
      </c>
      <c r="B54" s="68" t="str">
        <f t="shared" ca="1" si="0"/>
        <v/>
      </c>
      <c r="C54" s="68" t="str">
        <f t="shared" ca="1" si="1"/>
        <v/>
      </c>
      <c r="D54" s="68" t="str">
        <f t="shared" ca="1" si="2"/>
        <v/>
      </c>
      <c r="E54" s="68" t="str">
        <f t="shared" ca="1" si="3"/>
        <v/>
      </c>
      <c r="F54" s="68" t="str">
        <f t="shared" ca="1" si="4"/>
        <v/>
      </c>
      <c r="G54" s="68" t="str">
        <f t="shared" ca="1" si="5"/>
        <v/>
      </c>
      <c r="H54" s="68" t="str">
        <f t="shared" ca="1" si="6"/>
        <v/>
      </c>
      <c r="I54" s="68" t="str">
        <f t="shared" ca="1" si="20"/>
        <v/>
      </c>
      <c r="J54" s="68" t="str">
        <f ca="1">IF(ISNUMBER(SEARCH("Today",I54)),Sheet2!E55, I54)</f>
        <v/>
      </c>
      <c r="K54" s="7" t="str">
        <f t="shared" ca="1" si="19"/>
        <v/>
      </c>
      <c r="L54" s="7" t="str">
        <f t="shared" si="8"/>
        <v/>
      </c>
      <c r="M54" s="7" t="str">
        <f t="shared" si="9"/>
        <v/>
      </c>
      <c r="N54" s="7" t="str">
        <f t="shared" si="10"/>
        <v/>
      </c>
      <c r="O54" s="7" t="str">
        <f t="shared" si="11"/>
        <v/>
      </c>
      <c r="P54" s="7" t="str">
        <f t="shared" si="12"/>
        <v/>
      </c>
      <c r="Q54" s="7" t="str">
        <f t="shared" si="13"/>
        <v/>
      </c>
      <c r="R54" s="7" t="str">
        <f t="shared" si="14"/>
        <v/>
      </c>
      <c r="S54" s="7" t="str">
        <f t="shared" si="15"/>
        <v/>
      </c>
      <c r="U54" s="7">
        <f t="shared" si="17"/>
        <v>0</v>
      </c>
      <c r="V54" s="7">
        <f t="shared" si="18"/>
        <v>0</v>
      </c>
      <c r="AA54" s="7" t="str">
        <f>IF(Z54="",[1]Code!H54,Z54)</f>
        <v/>
      </c>
    </row>
    <row r="55" spans="1:27">
      <c r="A55" s="68" t="str">
        <f>IF(Bug!F54="","",Bug!F54)</f>
        <v/>
      </c>
      <c r="B55" s="68" t="str">
        <f t="shared" ca="1" si="0"/>
        <v/>
      </c>
      <c r="C55" s="68" t="str">
        <f t="shared" ca="1" si="1"/>
        <v/>
      </c>
      <c r="D55" s="68" t="str">
        <f t="shared" ca="1" si="2"/>
        <v/>
      </c>
      <c r="E55" s="68" t="str">
        <f t="shared" ca="1" si="3"/>
        <v/>
      </c>
      <c r="F55" s="68" t="str">
        <f t="shared" ca="1" si="4"/>
        <v/>
      </c>
      <c r="G55" s="68" t="str">
        <f t="shared" ca="1" si="5"/>
        <v/>
      </c>
      <c r="H55" s="68" t="str">
        <f t="shared" ca="1" si="6"/>
        <v/>
      </c>
      <c r="I55" s="68" t="str">
        <f t="shared" ca="1" si="20"/>
        <v/>
      </c>
      <c r="J55" s="68" t="str">
        <f ca="1">IF(ISNUMBER(SEARCH("Today",I55)),Sheet2!E56, I55)</f>
        <v/>
      </c>
      <c r="K55" s="7" t="str">
        <f t="shared" ca="1" si="19"/>
        <v/>
      </c>
      <c r="L55" s="7" t="str">
        <f t="shared" si="8"/>
        <v/>
      </c>
      <c r="M55" s="7" t="str">
        <f t="shared" si="9"/>
        <v/>
      </c>
      <c r="N55" s="7" t="str">
        <f t="shared" si="10"/>
        <v/>
      </c>
      <c r="O55" s="7" t="str">
        <f t="shared" si="11"/>
        <v/>
      </c>
      <c r="P55" s="7" t="str">
        <f t="shared" si="12"/>
        <v/>
      </c>
      <c r="Q55" s="7" t="str">
        <f t="shared" si="13"/>
        <v/>
      </c>
      <c r="R55" s="7" t="str">
        <f t="shared" si="14"/>
        <v/>
      </c>
      <c r="S55" s="7" t="str">
        <f t="shared" si="15"/>
        <v/>
      </c>
      <c r="U55" s="7">
        <f t="shared" si="17"/>
        <v>0</v>
      </c>
      <c r="V55" s="7">
        <f t="shared" si="18"/>
        <v>0</v>
      </c>
      <c r="AA55" s="7" t="str">
        <f>IF(Z55="",[1]Code!H55,Z55)</f>
        <v/>
      </c>
    </row>
    <row r="56" spans="1:27">
      <c r="A56" s="68" t="str">
        <f>IF(Bug!F55="","",Bug!F55)</f>
        <v/>
      </c>
      <c r="B56" s="68" t="str">
        <f t="shared" ca="1" si="0"/>
        <v/>
      </c>
      <c r="C56" s="68" t="str">
        <f t="shared" ca="1" si="1"/>
        <v/>
      </c>
      <c r="D56" s="68" t="str">
        <f t="shared" ca="1" si="2"/>
        <v/>
      </c>
      <c r="E56" s="68" t="str">
        <f t="shared" ca="1" si="3"/>
        <v/>
      </c>
      <c r="F56" s="68" t="str">
        <f t="shared" ca="1" si="4"/>
        <v/>
      </c>
      <c r="G56" s="68" t="str">
        <f t="shared" ca="1" si="5"/>
        <v/>
      </c>
      <c r="H56" s="68" t="str">
        <f t="shared" ca="1" si="6"/>
        <v/>
      </c>
      <c r="I56" s="68" t="str">
        <f t="shared" ca="1" si="20"/>
        <v/>
      </c>
      <c r="J56" s="68" t="str">
        <f ca="1">IF(ISNUMBER(SEARCH("Today",I56)),Sheet2!E57, I56)</f>
        <v/>
      </c>
      <c r="K56" s="7" t="str">
        <f t="shared" ca="1" si="19"/>
        <v/>
      </c>
      <c r="L56" s="7" t="str">
        <f t="shared" si="8"/>
        <v/>
      </c>
      <c r="M56" s="7" t="str">
        <f t="shared" si="9"/>
        <v/>
      </c>
      <c r="N56" s="7" t="str">
        <f t="shared" si="10"/>
        <v/>
      </c>
      <c r="O56" s="7" t="str">
        <f t="shared" si="11"/>
        <v/>
      </c>
      <c r="P56" s="7" t="str">
        <f t="shared" si="12"/>
        <v/>
      </c>
      <c r="Q56" s="7" t="str">
        <f t="shared" si="13"/>
        <v/>
      </c>
      <c r="R56" s="7" t="str">
        <f t="shared" si="14"/>
        <v/>
      </c>
      <c r="S56" s="7" t="str">
        <f t="shared" si="15"/>
        <v/>
      </c>
      <c r="U56" s="7">
        <f t="shared" si="17"/>
        <v>0</v>
      </c>
      <c r="V56" s="7">
        <f t="shared" si="18"/>
        <v>0</v>
      </c>
      <c r="AA56" s="7" t="str">
        <f>IF(Z56="",[1]Code!H56,Z56)</f>
        <v/>
      </c>
    </row>
    <row r="57" spans="1:27">
      <c r="A57" s="68" t="str">
        <f>IF(Bug!F56="","",Bug!F56)</f>
        <v/>
      </c>
      <c r="B57" s="68" t="str">
        <f t="shared" ca="1" si="0"/>
        <v/>
      </c>
      <c r="C57" s="68" t="str">
        <f t="shared" ca="1" si="1"/>
        <v/>
      </c>
      <c r="D57" s="68" t="str">
        <f t="shared" ca="1" si="2"/>
        <v/>
      </c>
      <c r="E57" s="68" t="str">
        <f t="shared" ca="1" si="3"/>
        <v/>
      </c>
      <c r="F57" s="68" t="str">
        <f t="shared" ca="1" si="4"/>
        <v/>
      </c>
      <c r="G57" s="68" t="str">
        <f t="shared" ca="1" si="5"/>
        <v/>
      </c>
      <c r="H57" s="68" t="str">
        <f t="shared" ca="1" si="6"/>
        <v/>
      </c>
      <c r="I57" s="68" t="str">
        <f t="shared" ca="1" si="20"/>
        <v/>
      </c>
      <c r="J57" s="68" t="str">
        <f ca="1">IF(ISNUMBER(SEARCH("Today",I57)),Sheet2!E58, I57)</f>
        <v/>
      </c>
      <c r="K57" s="7" t="str">
        <f t="shared" ca="1" si="19"/>
        <v/>
      </c>
      <c r="L57" s="7" t="str">
        <f t="shared" si="8"/>
        <v/>
      </c>
      <c r="M57" s="7" t="str">
        <f t="shared" si="9"/>
        <v/>
      </c>
      <c r="N57" s="7" t="str">
        <f t="shared" si="10"/>
        <v/>
      </c>
      <c r="O57" s="7" t="str">
        <f t="shared" si="11"/>
        <v/>
      </c>
      <c r="P57" s="7" t="str">
        <f t="shared" si="12"/>
        <v/>
      </c>
      <c r="Q57" s="7" t="str">
        <f t="shared" si="13"/>
        <v/>
      </c>
      <c r="R57" s="7" t="str">
        <f t="shared" si="14"/>
        <v/>
      </c>
      <c r="S57" s="7" t="str">
        <f t="shared" si="15"/>
        <v/>
      </c>
      <c r="U57" s="7">
        <f t="shared" si="17"/>
        <v>0</v>
      </c>
      <c r="V57" s="7">
        <f t="shared" si="18"/>
        <v>0</v>
      </c>
      <c r="AA57" s="7" t="str">
        <f>IF(Z57="",[1]Code!H57,Z57)</f>
        <v/>
      </c>
    </row>
    <row r="58" spans="1:27">
      <c r="A58" s="68" t="str">
        <f>IF(Bug!F57="","",Bug!F57)</f>
        <v/>
      </c>
      <c r="B58" s="68" t="str">
        <f t="shared" ca="1" si="0"/>
        <v/>
      </c>
      <c r="C58" s="68" t="str">
        <f t="shared" ca="1" si="1"/>
        <v/>
      </c>
      <c r="D58" s="68" t="str">
        <f t="shared" ca="1" si="2"/>
        <v/>
      </c>
      <c r="E58" s="68" t="str">
        <f t="shared" ca="1" si="3"/>
        <v/>
      </c>
      <c r="F58" s="68" t="str">
        <f t="shared" ca="1" si="4"/>
        <v/>
      </c>
      <c r="G58" s="68" t="str">
        <f t="shared" ca="1" si="5"/>
        <v/>
      </c>
      <c r="H58" s="68" t="str">
        <f t="shared" ca="1" si="6"/>
        <v/>
      </c>
      <c r="I58" s="68"/>
      <c r="J58" s="68">
        <f>IF(ISNUMBER(SEARCH("Today",I58)),Sheet2!E59, I58)</f>
        <v>0</v>
      </c>
      <c r="K58" s="7" t="str">
        <f t="shared" si="19"/>
        <v>01/00</v>
      </c>
      <c r="L58" s="7" t="str">
        <f t="shared" si="8"/>
        <v/>
      </c>
      <c r="M58" s="7" t="str">
        <f t="shared" si="9"/>
        <v/>
      </c>
      <c r="N58" s="7" t="str">
        <f t="shared" si="10"/>
        <v/>
      </c>
      <c r="O58" s="7" t="str">
        <f t="shared" si="11"/>
        <v/>
      </c>
      <c r="P58" s="7" t="str">
        <f t="shared" si="12"/>
        <v/>
      </c>
      <c r="Q58" s="7" t="str">
        <f t="shared" si="13"/>
        <v/>
      </c>
      <c r="R58" s="7" t="str">
        <f t="shared" si="14"/>
        <v/>
      </c>
      <c r="S58" s="7" t="str">
        <f t="shared" si="15"/>
        <v/>
      </c>
      <c r="U58" s="7">
        <f t="shared" si="17"/>
        <v>0</v>
      </c>
      <c r="V58" s="7">
        <f t="shared" si="18"/>
        <v>0</v>
      </c>
      <c r="AA58" s="7" t="str">
        <f>IF(Z58="",[1]Code!H58,Z58)</f>
        <v/>
      </c>
    </row>
    <row r="59" spans="1:27">
      <c r="A59" s="68" t="str">
        <f>IF(Bug!F58="","",Bug!F58)</f>
        <v/>
      </c>
      <c r="B59" s="68" t="str">
        <f t="shared" ca="1" si="0"/>
        <v/>
      </c>
      <c r="C59" s="68" t="str">
        <f t="shared" ca="1" si="1"/>
        <v/>
      </c>
      <c r="D59" s="68" t="str">
        <f t="shared" ca="1" si="2"/>
        <v/>
      </c>
      <c r="E59" s="68" t="str">
        <f t="shared" ca="1" si="3"/>
        <v/>
      </c>
      <c r="F59" s="68" t="str">
        <f t="shared" ca="1" si="4"/>
        <v/>
      </c>
      <c r="G59" s="68" t="str">
        <f t="shared" ca="1" si="5"/>
        <v/>
      </c>
      <c r="H59" s="68" t="str">
        <f t="shared" ca="1" si="6"/>
        <v/>
      </c>
      <c r="I59" s="68"/>
      <c r="J59" s="68">
        <f>IF(ISNUMBER(SEARCH("Today",I59)),Sheet2!E60, I59)</f>
        <v>0</v>
      </c>
      <c r="K59" s="7" t="str">
        <f t="shared" si="19"/>
        <v>01/00</v>
      </c>
      <c r="L59" s="7" t="str">
        <f t="shared" si="8"/>
        <v/>
      </c>
      <c r="M59" s="7" t="str">
        <f t="shared" si="9"/>
        <v/>
      </c>
      <c r="N59" s="7" t="str">
        <f t="shared" si="10"/>
        <v/>
      </c>
      <c r="O59" s="7" t="str">
        <f t="shared" si="11"/>
        <v/>
      </c>
      <c r="P59" s="7" t="str">
        <f t="shared" si="12"/>
        <v/>
      </c>
      <c r="Q59" s="7" t="str">
        <f t="shared" si="13"/>
        <v/>
      </c>
      <c r="R59" s="7" t="str">
        <f t="shared" si="14"/>
        <v/>
      </c>
      <c r="S59" s="7" t="str">
        <f t="shared" si="15"/>
        <v/>
      </c>
      <c r="U59" s="7">
        <f t="shared" si="17"/>
        <v>0</v>
      </c>
      <c r="V59" s="7">
        <f t="shared" si="18"/>
        <v>0</v>
      </c>
      <c r="AA59" s="7" t="str">
        <f>IF(Z59="",[1]Code!H59,Z59)</f>
        <v/>
      </c>
    </row>
    <row r="60" spans="1:27">
      <c r="A60" s="68" t="str">
        <f>IF(Bug!F59="","",Bug!F59)</f>
        <v/>
      </c>
      <c r="B60" s="68" t="str">
        <f t="shared" ca="1" si="0"/>
        <v/>
      </c>
      <c r="C60" s="68" t="str">
        <f t="shared" ca="1" si="1"/>
        <v/>
      </c>
      <c r="D60" s="68" t="str">
        <f t="shared" ca="1" si="2"/>
        <v/>
      </c>
      <c r="E60" s="68" t="str">
        <f t="shared" ca="1" si="3"/>
        <v/>
      </c>
      <c r="F60" s="68" t="str">
        <f t="shared" ca="1" si="4"/>
        <v/>
      </c>
      <c r="G60" s="68" t="str">
        <f t="shared" ca="1" si="5"/>
        <v/>
      </c>
      <c r="H60" s="68" t="str">
        <f t="shared" ca="1" si="6"/>
        <v/>
      </c>
      <c r="I60" s="68"/>
      <c r="J60" s="68">
        <f>IF(ISNUMBER(SEARCH("Today",I60)),Sheet2!E61, I60)</f>
        <v>0</v>
      </c>
      <c r="K60" s="7" t="str">
        <f t="shared" si="19"/>
        <v>01/00</v>
      </c>
      <c r="L60" s="7" t="str">
        <f t="shared" si="8"/>
        <v/>
      </c>
      <c r="M60" s="7" t="str">
        <f t="shared" si="9"/>
        <v/>
      </c>
      <c r="N60" s="7" t="str">
        <f t="shared" si="10"/>
        <v/>
      </c>
      <c r="O60" s="7" t="str">
        <f t="shared" si="11"/>
        <v/>
      </c>
      <c r="P60" s="7" t="str">
        <f t="shared" si="12"/>
        <v/>
      </c>
      <c r="Q60" s="7" t="str">
        <f t="shared" si="13"/>
        <v/>
      </c>
      <c r="R60" s="7" t="str">
        <f t="shared" si="14"/>
        <v/>
      </c>
      <c r="S60" s="7" t="str">
        <f t="shared" si="15"/>
        <v/>
      </c>
      <c r="U60" s="7">
        <f t="shared" si="17"/>
        <v>0</v>
      </c>
      <c r="V60" s="7">
        <f t="shared" si="18"/>
        <v>0</v>
      </c>
      <c r="AA60" s="7" t="str">
        <f>IF(Z60="",[1]Code!H60,Z60)</f>
        <v/>
      </c>
    </row>
    <row r="61" spans="1:27">
      <c r="A61" s="68" t="str">
        <f>IF(Bug!F60="","",Bug!F60)</f>
        <v/>
      </c>
      <c r="B61" s="68" t="str">
        <f t="shared" ca="1" si="0"/>
        <v/>
      </c>
      <c r="C61" s="68" t="str">
        <f t="shared" ca="1" si="1"/>
        <v/>
      </c>
      <c r="D61" s="68" t="str">
        <f t="shared" ca="1" si="2"/>
        <v/>
      </c>
      <c r="E61" s="68" t="str">
        <f t="shared" ca="1" si="3"/>
        <v/>
      </c>
      <c r="F61" s="68" t="str">
        <f t="shared" ca="1" si="4"/>
        <v/>
      </c>
      <c r="G61" s="68" t="str">
        <f t="shared" ca="1" si="5"/>
        <v/>
      </c>
      <c r="H61" s="68" t="str">
        <f t="shared" ca="1" si="6"/>
        <v/>
      </c>
      <c r="I61" s="68"/>
      <c r="J61" s="68">
        <f>IF(ISNUMBER(SEARCH("Today",I61)),Sheet2!E62, I61)</f>
        <v>0</v>
      </c>
      <c r="K61" s="7" t="str">
        <f t="shared" si="19"/>
        <v>01/00</v>
      </c>
      <c r="L61" s="7" t="str">
        <f t="shared" si="8"/>
        <v/>
      </c>
      <c r="M61" s="7" t="str">
        <f t="shared" si="9"/>
        <v/>
      </c>
      <c r="N61" s="7" t="str">
        <f t="shared" si="10"/>
        <v/>
      </c>
      <c r="O61" s="7" t="str">
        <f t="shared" si="11"/>
        <v/>
      </c>
      <c r="P61" s="7" t="str">
        <f t="shared" si="12"/>
        <v/>
      </c>
      <c r="Q61" s="7" t="str">
        <f t="shared" si="13"/>
        <v/>
      </c>
      <c r="R61" s="7" t="str">
        <f t="shared" si="14"/>
        <v/>
      </c>
      <c r="S61" s="7" t="str">
        <f t="shared" si="15"/>
        <v/>
      </c>
      <c r="U61" s="7">
        <f t="shared" si="17"/>
        <v>0</v>
      </c>
      <c r="V61" s="7">
        <f t="shared" si="18"/>
        <v>0</v>
      </c>
      <c r="AA61" s="7" t="str">
        <f>IF(Z61="",[1]Code!H61,Z61)</f>
        <v/>
      </c>
    </row>
    <row r="62" spans="1:27">
      <c r="A62" s="68" t="str">
        <f>IF(Bug!F61="","",Bug!F61)</f>
        <v/>
      </c>
      <c r="J62" s="68">
        <f>IF(ISNUMBER(SEARCH("Today",I62)),Sheet2!E63, I62)</f>
        <v>0</v>
      </c>
      <c r="U62" s="7">
        <f t="shared" si="17"/>
        <v>0</v>
      </c>
      <c r="AA62" s="7" t="str">
        <f>IF(Z62="",[1]Code!H62,Z62)</f>
        <v/>
      </c>
    </row>
    <row r="63" spans="1:27">
      <c r="A63" s="68" t="str">
        <f>IF(Bug!F62="","",Bug!F62)</f>
        <v/>
      </c>
      <c r="J63" s="68">
        <f>IF(ISNUMBER(SEARCH("Today",I63)),Sheet2!E64, I63)</f>
        <v>0</v>
      </c>
      <c r="Y63" s="7" t="str">
        <f>CONCATENATE(X63," ",V63,"  ",[1]Code!H63)</f>
        <v xml:space="preserve">   </v>
      </c>
      <c r="AA63" s="7" t="str">
        <f>IF(Z63="",[1]Code!H63,Z63)</f>
        <v/>
      </c>
    </row>
    <row r="64" spans="1:27">
      <c r="A64" s="68" t="str">
        <f>IF(Bug!F63="","",Bug!F63)</f>
        <v/>
      </c>
      <c r="J64" s="68">
        <f>IF(ISNUMBER(SEARCH("Today",I64)),Sheet2!E65, I64)</f>
        <v>0</v>
      </c>
      <c r="Y64" s="7" t="str">
        <f>CONCATENATE(X64," ",V64,"  ",[1]Code!H64)</f>
        <v xml:space="preserve">   </v>
      </c>
      <c r="AA64" s="7" t="str">
        <f>IF(Z64="",[1]Code!H64,Z64)</f>
        <v/>
      </c>
    </row>
    <row r="65" spans="1:10">
      <c r="A65" s="68" t="str">
        <f>IF(Bug!F64="","",Bug!F64)</f>
        <v/>
      </c>
      <c r="J65" s="68">
        <f>IF(ISNUMBER(SEARCH("Today",I65)),Sheet2!E66, I65)</f>
        <v>0</v>
      </c>
    </row>
    <row r="66" spans="1:10">
      <c r="A66" s="68" t="str">
        <f>IF(Bug!F65="","",Bug!F65)</f>
        <v/>
      </c>
      <c r="J66" s="68">
        <f>IF(ISNUMBER(SEARCH("Today",I66)),Sheet2!E67, I66)</f>
        <v>0</v>
      </c>
    </row>
    <row r="67" spans="1:10">
      <c r="A67" s="68" t="str">
        <f>IF(Bug!F66="","",Bug!F66)</f>
        <v/>
      </c>
    </row>
    <row r="68" spans="1:10">
      <c r="A68" s="68" t="str">
        <f>IF(Bug!F67="","",Bug!F67)</f>
        <v/>
      </c>
    </row>
    <row r="69" spans="1:10">
      <c r="A69" s="68" t="str">
        <f>IF(Bug!F68="","",Bug!F68)</f>
        <v/>
      </c>
    </row>
    <row r="70" spans="1:10">
      <c r="A70" s="68" t="str">
        <f>IF(Bug!F69="","",Bug!F69)</f>
        <v/>
      </c>
    </row>
    <row r="71" spans="1:10">
      <c r="A71" s="68" t="str">
        <f>IF(Bug!F70="","",Bug!F70)</f>
        <v/>
      </c>
    </row>
    <row r="72" spans="1:10">
      <c r="A72" s="68" t="str">
        <f>IF(Bug!F71="","",Bug!F71)</f>
        <v/>
      </c>
    </row>
    <row r="73" spans="1:10">
      <c r="A73" s="68" t="str">
        <f>IF([1]Bug!C72="","",[1]Bug!C72)</f>
        <v/>
      </c>
    </row>
    <row r="74" spans="1:10">
      <c r="A74" s="68" t="str">
        <f>IF([1]Bug!C73="","",[1]Bug!C73)</f>
        <v/>
      </c>
    </row>
    <row r="75" spans="1:10">
      <c r="A75" s="68" t="str">
        <f>IF([1]Bug!C74="","",[1]Bug!C74)</f>
        <v/>
      </c>
    </row>
    <row r="76" spans="1:10">
      <c r="A76" s="68" t="str">
        <f>IF([1]Bug!C75="","",[1]Bug!C75)</f>
        <v/>
      </c>
    </row>
    <row r="77" spans="1:10">
      <c r="A77" s="68" t="str">
        <f>IF([1]Bug!C76="","",[1]Bug!C76)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K108"/>
  <sheetViews>
    <sheetView workbookViewId="0">
      <selection activeCell="A6" sqref="A6"/>
    </sheetView>
  </sheetViews>
  <sheetFormatPr defaultRowHeight="15"/>
  <cols>
    <col min="1" max="1" width="70.28515625" style="7" customWidth="1"/>
    <col min="2" max="2" width="14.140625" style="7" customWidth="1"/>
    <col min="3" max="3" width="13.5703125" style="7" customWidth="1"/>
    <col min="4" max="10" width="9.140625" style="7"/>
    <col min="11" max="11" width="24.140625" style="7" bestFit="1" customWidth="1"/>
    <col min="12" max="16384" width="9.140625" style="7"/>
  </cols>
  <sheetData>
    <row r="1" spans="1:11">
      <c r="A1" s="7" t="str">
        <f>Sheet2!C2</f>
        <v>PA House Commerce committee hearing</v>
      </c>
      <c r="E1" s="7" t="str">
        <f>Sheet2!D2</f>
        <v>Tuesday</v>
      </c>
      <c r="F1" s="7" t="str">
        <f>IF(A1=0,"",E1)</f>
        <v>Tuesday</v>
      </c>
    </row>
    <row r="2" spans="1:11">
      <c r="A2" s="7" t="str">
        <f>Sheet2!C3</f>
        <v>PA House Commerce committee hearing</v>
      </c>
      <c r="E2" s="7" t="str">
        <f>Sheet2!D3</f>
        <v>Tuesday</v>
      </c>
      <c r="F2" s="7" t="str">
        <f t="shared" ref="F2:F65" si="0">IF(A2=0,"",E2)</f>
        <v>Tuesday</v>
      </c>
    </row>
    <row r="3" spans="1:11">
      <c r="A3" s="7" t="str">
        <f>Sheet2!C4</f>
        <v>PA House Health and Judiciary committees hearing</v>
      </c>
      <c r="E3" s="7" t="str">
        <f>Sheet2!D4</f>
        <v>Wednesday</v>
      </c>
      <c r="F3" s="7" t="str">
        <f t="shared" si="0"/>
        <v>Wednesday</v>
      </c>
    </row>
    <row r="4" spans="1:11">
      <c r="A4" s="7" t="str">
        <f>Sheet2!C5</f>
        <v>PA House Health and Judiciary committees hearing</v>
      </c>
      <c r="E4" s="7" t="str">
        <f>Sheet2!D5</f>
        <v>Wednesday</v>
      </c>
      <c r="F4" s="7" t="str">
        <f t="shared" si="0"/>
        <v>Wednesday</v>
      </c>
      <c r="K4" s="67"/>
    </row>
    <row r="5" spans="1:11">
      <c r="A5" s="7" t="str">
        <f>Sheet2!C6</f>
        <v>League of Women Voters of PA-Citizen Education Fund honors former PA House of Representative and Senator Franklin Kury</v>
      </c>
      <c r="E5" s="7" t="str">
        <f>Sheet2!D6</f>
        <v>Tuesday</v>
      </c>
      <c r="F5" s="7" t="str">
        <f t="shared" si="0"/>
        <v>Tuesday</v>
      </c>
    </row>
    <row r="6" spans="1:11">
      <c r="A6" s="7" t="str">
        <f>Sheet2!C7</f>
        <v>Widener University School of Law forum with Ken Kimmell of Union of Concerned Scientists, as he discusses the latest in climate impact on PA</v>
      </c>
      <c r="E6" s="7" t="str">
        <f>Sheet2!D7</f>
        <v>Monday</v>
      </c>
      <c r="F6" s="7" t="str">
        <f t="shared" si="0"/>
        <v>Monday</v>
      </c>
    </row>
    <row r="7" spans="1:11">
      <c r="A7" s="7" t="str">
        <f>Sheet2!C8</f>
        <v>Pittsburgh</v>
      </c>
      <c r="E7" s="7" t="str">
        <f>Sheet2!D8</f>
        <v>Tuesday</v>
      </c>
      <c r="F7" s="7" t="str">
        <f t="shared" si="0"/>
        <v>Tuesday</v>
      </c>
    </row>
    <row r="8" spans="1:11">
      <c r="A8" s="7" t="str">
        <f>Sheet2!C9</f>
        <v>Pittsburgh</v>
      </c>
      <c r="E8" s="7" t="str">
        <f>Sheet2!D9</f>
        <v>Wednesday</v>
      </c>
      <c r="F8" s="7" t="str">
        <f t="shared" si="0"/>
        <v>Wednesday</v>
      </c>
    </row>
    <row r="9" spans="1:11">
      <c r="A9" s="7" t="str">
        <f>Sheet2!C10</f>
        <v>Harrisburg</v>
      </c>
      <c r="E9" s="7" t="str">
        <f>Sheet2!D10</f>
        <v>Thursday</v>
      </c>
      <c r="F9" s="7" t="str">
        <f t="shared" si="0"/>
        <v>Thursday</v>
      </c>
    </row>
    <row r="10" spans="1:11">
      <c r="A10" s="7">
        <f>Sheet2!C11</f>
        <v>0</v>
      </c>
      <c r="E10" s="7">
        <f>Sheet2!D11</f>
        <v>0</v>
      </c>
      <c r="F10" s="7" t="str">
        <f t="shared" si="0"/>
        <v/>
      </c>
    </row>
    <row r="11" spans="1:11">
      <c r="A11" s="7">
        <f>Sheet2!C12</f>
        <v>0</v>
      </c>
      <c r="E11" s="7">
        <f>Sheet2!D12</f>
        <v>0</v>
      </c>
      <c r="F11" s="7" t="str">
        <f t="shared" si="0"/>
        <v/>
      </c>
    </row>
    <row r="12" spans="1:11">
      <c r="A12" s="7">
        <f>Sheet2!C13</f>
        <v>0</v>
      </c>
      <c r="E12" s="7">
        <f>Sheet2!D13</f>
        <v>0</v>
      </c>
      <c r="F12" s="7" t="str">
        <f t="shared" si="0"/>
        <v/>
      </c>
    </row>
    <row r="13" spans="1:11">
      <c r="A13" s="7">
        <f>Sheet2!C14</f>
        <v>0</v>
      </c>
      <c r="E13" s="7">
        <f>Sheet2!D14</f>
        <v>0</v>
      </c>
      <c r="F13" s="7" t="str">
        <f t="shared" si="0"/>
        <v/>
      </c>
    </row>
    <row r="14" spans="1:11">
      <c r="A14" s="7">
        <f>Sheet2!C15</f>
        <v>0</v>
      </c>
      <c r="E14" s="7">
        <f>Sheet2!D15</f>
        <v>0</v>
      </c>
      <c r="F14" s="7" t="str">
        <f t="shared" si="0"/>
        <v/>
      </c>
    </row>
    <row r="15" spans="1:11">
      <c r="A15" s="7">
        <f>Sheet2!C16</f>
        <v>0</v>
      </c>
      <c r="E15" s="7">
        <f>Sheet2!D16</f>
        <v>0</v>
      </c>
      <c r="F15" s="7" t="str">
        <f t="shared" si="0"/>
        <v/>
      </c>
    </row>
    <row r="16" spans="1:11">
      <c r="A16" s="7">
        <f>Sheet2!C17</f>
        <v>0</v>
      </c>
      <c r="E16" s="7">
        <f>Sheet2!D17</f>
        <v>0</v>
      </c>
      <c r="F16" s="7" t="str">
        <f t="shared" si="0"/>
        <v/>
      </c>
    </row>
    <row r="17" spans="1:6">
      <c r="A17" s="7">
        <f>Sheet2!C18</f>
        <v>0</v>
      </c>
      <c r="E17" s="7">
        <f>Sheet2!D18</f>
        <v>0</v>
      </c>
      <c r="F17" s="7" t="str">
        <f t="shared" si="0"/>
        <v/>
      </c>
    </row>
    <row r="18" spans="1:6">
      <c r="A18" s="7">
        <f>Sheet2!C19</f>
        <v>0</v>
      </c>
      <c r="E18" s="7">
        <f>Sheet2!D19</f>
        <v>0</v>
      </c>
      <c r="F18" s="7" t="str">
        <f t="shared" si="0"/>
        <v/>
      </c>
    </row>
    <row r="19" spans="1:6">
      <c r="A19" s="7">
        <f>Sheet2!C20</f>
        <v>0</v>
      </c>
      <c r="E19" s="7">
        <f>Sheet2!D20</f>
        <v>0</v>
      </c>
      <c r="F19" s="7" t="str">
        <f t="shared" si="0"/>
        <v/>
      </c>
    </row>
    <row r="20" spans="1:6">
      <c r="A20" s="7">
        <f>Sheet2!C21</f>
        <v>0</v>
      </c>
      <c r="E20" s="7">
        <f>Sheet2!D21</f>
        <v>0</v>
      </c>
      <c r="F20" s="7" t="str">
        <f t="shared" si="0"/>
        <v/>
      </c>
    </row>
    <row r="21" spans="1:6">
      <c r="A21" s="7">
        <f>Sheet2!C22</f>
        <v>0</v>
      </c>
      <c r="C21" s="69"/>
      <c r="E21" s="7">
        <f>Sheet2!D22</f>
        <v>0</v>
      </c>
      <c r="F21" s="7" t="str">
        <f t="shared" si="0"/>
        <v/>
      </c>
    </row>
    <row r="22" spans="1:6">
      <c r="A22" s="7">
        <f>Sheet2!C23</f>
        <v>0</v>
      </c>
      <c r="E22" s="7">
        <f>Sheet2!D23</f>
        <v>0</v>
      </c>
      <c r="F22" s="7" t="str">
        <f t="shared" si="0"/>
        <v/>
      </c>
    </row>
    <row r="23" spans="1:6">
      <c r="A23" s="7">
        <f>Sheet2!C24</f>
        <v>0</v>
      </c>
      <c r="E23" s="7">
        <f>Sheet2!D24</f>
        <v>0</v>
      </c>
      <c r="F23" s="7" t="str">
        <f t="shared" si="0"/>
        <v/>
      </c>
    </row>
    <row r="24" spans="1:6">
      <c r="A24" s="7">
        <f>Sheet2!C25</f>
        <v>0</v>
      </c>
      <c r="E24" s="7">
        <f>Sheet2!D25</f>
        <v>0</v>
      </c>
      <c r="F24" s="7" t="str">
        <f t="shared" si="0"/>
        <v/>
      </c>
    </row>
    <row r="25" spans="1:6">
      <c r="A25" s="7">
        <f>Sheet2!C26</f>
        <v>0</v>
      </c>
      <c r="E25" s="7">
        <f>Sheet2!D26</f>
        <v>0</v>
      </c>
      <c r="F25" s="7" t="str">
        <f t="shared" si="0"/>
        <v/>
      </c>
    </row>
    <row r="26" spans="1:6">
      <c r="A26" s="7">
        <f>Sheet2!C27</f>
        <v>0</v>
      </c>
      <c r="E26" s="7">
        <f>Sheet2!D27</f>
        <v>0</v>
      </c>
      <c r="F26" s="7" t="str">
        <f t="shared" si="0"/>
        <v/>
      </c>
    </row>
    <row r="27" spans="1:6">
      <c r="A27" s="7">
        <f>Sheet2!C28</f>
        <v>0</v>
      </c>
      <c r="E27" s="7">
        <f>Sheet2!D28</f>
        <v>0</v>
      </c>
      <c r="F27" s="7" t="str">
        <f t="shared" si="0"/>
        <v/>
      </c>
    </row>
    <row r="28" spans="1:6">
      <c r="A28" s="7">
        <f>Sheet2!C29</f>
        <v>0</v>
      </c>
      <c r="E28" s="7">
        <f>Sheet2!D29</f>
        <v>0</v>
      </c>
      <c r="F28" s="7" t="str">
        <f t="shared" si="0"/>
        <v/>
      </c>
    </row>
    <row r="29" spans="1:6">
      <c r="A29" s="7">
        <f>Sheet2!C30</f>
        <v>0</v>
      </c>
      <c r="E29" s="7">
        <f>Sheet2!D30</f>
        <v>0</v>
      </c>
      <c r="F29" s="7" t="str">
        <f t="shared" si="0"/>
        <v/>
      </c>
    </row>
    <row r="30" spans="1:6">
      <c r="A30" s="7">
        <f>Sheet2!C31</f>
        <v>0</v>
      </c>
      <c r="E30" s="7">
        <f>Sheet2!D31</f>
        <v>0</v>
      </c>
      <c r="F30" s="7" t="str">
        <f t="shared" si="0"/>
        <v/>
      </c>
    </row>
    <row r="31" spans="1:6">
      <c r="A31" s="7">
        <f>Sheet2!C32</f>
        <v>0</v>
      </c>
      <c r="E31" s="7">
        <f>Sheet2!D32</f>
        <v>0</v>
      </c>
      <c r="F31" s="7" t="str">
        <f t="shared" si="0"/>
        <v/>
      </c>
    </row>
    <row r="32" spans="1:6">
      <c r="A32" s="7">
        <f>Sheet2!C33</f>
        <v>0</v>
      </c>
      <c r="E32" s="7">
        <f>Sheet2!D33</f>
        <v>0</v>
      </c>
      <c r="F32" s="7" t="str">
        <f t="shared" si="0"/>
        <v/>
      </c>
    </row>
    <row r="33" spans="1:6">
      <c r="A33" s="7">
        <f>Sheet2!C34</f>
        <v>0</v>
      </c>
      <c r="E33" s="7">
        <f>Sheet2!D34</f>
        <v>0</v>
      </c>
      <c r="F33" s="7" t="str">
        <f t="shared" si="0"/>
        <v/>
      </c>
    </row>
    <row r="34" spans="1:6">
      <c r="A34" s="7">
        <f>Sheet2!C35</f>
        <v>0</v>
      </c>
      <c r="E34" s="7">
        <f>Sheet2!D35</f>
        <v>0</v>
      </c>
      <c r="F34" s="7" t="str">
        <f t="shared" si="0"/>
        <v/>
      </c>
    </row>
    <row r="35" spans="1:6">
      <c r="A35" s="7">
        <f>Sheet2!C36</f>
        <v>0</v>
      </c>
      <c r="E35" s="7">
        <f>Sheet2!D36</f>
        <v>0</v>
      </c>
      <c r="F35" s="7" t="str">
        <f t="shared" si="0"/>
        <v/>
      </c>
    </row>
    <row r="36" spans="1:6">
      <c r="A36" s="7">
        <f>Sheet2!C37</f>
        <v>0</v>
      </c>
      <c r="E36" s="7">
        <f>Sheet2!D37</f>
        <v>0</v>
      </c>
      <c r="F36" s="7" t="str">
        <f t="shared" si="0"/>
        <v/>
      </c>
    </row>
    <row r="37" spans="1:6">
      <c r="A37" s="7">
        <f>Sheet2!C38</f>
        <v>0</v>
      </c>
      <c r="E37" s="7">
        <f>Sheet2!D38</f>
        <v>0</v>
      </c>
      <c r="F37" s="7" t="str">
        <f t="shared" si="0"/>
        <v/>
      </c>
    </row>
    <row r="38" spans="1:6">
      <c r="A38" s="7">
        <f>Sheet2!C39</f>
        <v>0</v>
      </c>
      <c r="E38" s="7">
        <f>Sheet2!D39</f>
        <v>0</v>
      </c>
      <c r="F38" s="7" t="str">
        <f t="shared" si="0"/>
        <v/>
      </c>
    </row>
    <row r="39" spans="1:6">
      <c r="A39" s="7">
        <f>Sheet2!C40</f>
        <v>0</v>
      </c>
      <c r="E39" s="7">
        <f>Sheet2!D40</f>
        <v>0</v>
      </c>
      <c r="F39" s="7" t="str">
        <f t="shared" si="0"/>
        <v/>
      </c>
    </row>
    <row r="40" spans="1:6">
      <c r="A40" s="7">
        <f>Sheet2!C41</f>
        <v>0</v>
      </c>
      <c r="E40" s="7">
        <f>Sheet2!D41</f>
        <v>0</v>
      </c>
      <c r="F40" s="7" t="str">
        <f t="shared" si="0"/>
        <v/>
      </c>
    </row>
    <row r="41" spans="1:6">
      <c r="A41" s="7">
        <f>Sheet2!C42</f>
        <v>0</v>
      </c>
      <c r="E41" s="7">
        <f>Sheet2!D42</f>
        <v>0</v>
      </c>
      <c r="F41" s="7" t="str">
        <f t="shared" si="0"/>
        <v/>
      </c>
    </row>
    <row r="42" spans="1:6">
      <c r="A42" s="7">
        <f>Sheet2!C43</f>
        <v>0</v>
      </c>
      <c r="E42" s="7">
        <f>Sheet2!D43</f>
        <v>0</v>
      </c>
      <c r="F42" s="7" t="str">
        <f t="shared" si="0"/>
        <v/>
      </c>
    </row>
    <row r="43" spans="1:6">
      <c r="A43" s="7">
        <f>Sheet2!C44</f>
        <v>0</v>
      </c>
      <c r="E43" s="7">
        <f>Sheet2!D44</f>
        <v>0</v>
      </c>
      <c r="F43" s="7" t="str">
        <f t="shared" si="0"/>
        <v/>
      </c>
    </row>
    <row r="44" spans="1:6">
      <c r="A44" s="7">
        <f>Sheet2!C45</f>
        <v>0</v>
      </c>
      <c r="E44" s="7">
        <f>Sheet2!D45</f>
        <v>0</v>
      </c>
      <c r="F44" s="7" t="str">
        <f t="shared" si="0"/>
        <v/>
      </c>
    </row>
    <row r="45" spans="1:6">
      <c r="A45" s="7">
        <f>Sheet2!C46</f>
        <v>0</v>
      </c>
      <c r="E45" s="7">
        <f>Sheet2!D46</f>
        <v>0</v>
      </c>
      <c r="F45" s="7" t="str">
        <f t="shared" si="0"/>
        <v/>
      </c>
    </row>
    <row r="46" spans="1:6">
      <c r="A46" s="7">
        <f>Sheet2!C47</f>
        <v>0</v>
      </c>
      <c r="E46" s="7">
        <f>Sheet2!D47</f>
        <v>0</v>
      </c>
      <c r="F46" s="7" t="str">
        <f t="shared" si="0"/>
        <v/>
      </c>
    </row>
    <row r="47" spans="1:6">
      <c r="A47" s="7">
        <f>Sheet2!C48</f>
        <v>0</v>
      </c>
      <c r="E47" s="7">
        <f>Sheet2!D48</f>
        <v>0</v>
      </c>
      <c r="F47" s="7" t="str">
        <f t="shared" si="0"/>
        <v/>
      </c>
    </row>
    <row r="48" spans="1:6">
      <c r="A48" s="7">
        <f>Sheet2!C49</f>
        <v>0</v>
      </c>
      <c r="E48" s="7">
        <f>Sheet2!D49</f>
        <v>0</v>
      </c>
      <c r="F48" s="7" t="str">
        <f t="shared" si="0"/>
        <v/>
      </c>
    </row>
    <row r="49" spans="1:6">
      <c r="A49" s="7">
        <f>Sheet2!C50</f>
        <v>0</v>
      </c>
      <c r="E49" s="7">
        <f>Sheet2!D50</f>
        <v>0</v>
      </c>
      <c r="F49" s="7" t="str">
        <f t="shared" si="0"/>
        <v/>
      </c>
    </row>
    <row r="50" spans="1:6">
      <c r="A50" s="7">
        <f>Sheet2!C51</f>
        <v>0</v>
      </c>
      <c r="E50" s="7">
        <f>Sheet2!D51</f>
        <v>0</v>
      </c>
      <c r="F50" s="7" t="str">
        <f t="shared" si="0"/>
        <v/>
      </c>
    </row>
    <row r="51" spans="1:6">
      <c r="A51" s="7">
        <f>Sheet2!C52</f>
        <v>0</v>
      </c>
      <c r="E51" s="7">
        <f>Sheet2!D52</f>
        <v>0</v>
      </c>
      <c r="F51" s="7" t="str">
        <f t="shared" si="0"/>
        <v/>
      </c>
    </row>
    <row r="52" spans="1:6">
      <c r="A52" s="7">
        <f>Sheet2!C53</f>
        <v>0</v>
      </c>
      <c r="E52" s="7">
        <f>Sheet2!D53</f>
        <v>0</v>
      </c>
      <c r="F52" s="7" t="str">
        <f t="shared" si="0"/>
        <v/>
      </c>
    </row>
    <row r="53" spans="1:6">
      <c r="A53" s="7">
        <f>Sheet2!C54</f>
        <v>0</v>
      </c>
      <c r="E53" s="7">
        <f>Sheet2!D54</f>
        <v>0</v>
      </c>
      <c r="F53" s="7" t="str">
        <f t="shared" si="0"/>
        <v/>
      </c>
    </row>
    <row r="54" spans="1:6">
      <c r="A54" s="7">
        <f>Sheet2!C55</f>
        <v>0</v>
      </c>
      <c r="E54" s="7">
        <f>Sheet2!D55</f>
        <v>0</v>
      </c>
      <c r="F54" s="7" t="str">
        <f t="shared" si="0"/>
        <v/>
      </c>
    </row>
    <row r="55" spans="1:6">
      <c r="A55" s="7">
        <f>Sheet2!C56</f>
        <v>0</v>
      </c>
      <c r="E55" s="7">
        <f>Sheet2!D56</f>
        <v>0</v>
      </c>
      <c r="F55" s="7" t="str">
        <f t="shared" si="0"/>
        <v/>
      </c>
    </row>
    <row r="56" spans="1:6">
      <c r="A56" s="7">
        <f>Sheet2!C57</f>
        <v>0</v>
      </c>
      <c r="E56" s="7">
        <f>Sheet2!D57</f>
        <v>0</v>
      </c>
      <c r="F56" s="7" t="str">
        <f t="shared" si="0"/>
        <v/>
      </c>
    </row>
    <row r="57" spans="1:6">
      <c r="A57" s="7">
        <f>Sheet2!C58</f>
        <v>0</v>
      </c>
      <c r="E57" s="7">
        <f>Sheet2!D58</f>
        <v>0</v>
      </c>
      <c r="F57" s="7" t="str">
        <f t="shared" si="0"/>
        <v/>
      </c>
    </row>
    <row r="58" spans="1:6">
      <c r="A58" s="7">
        <f>Sheet2!C59</f>
        <v>0</v>
      </c>
      <c r="E58" s="7">
        <f>Sheet2!D59</f>
        <v>0</v>
      </c>
      <c r="F58" s="7" t="str">
        <f t="shared" si="0"/>
        <v/>
      </c>
    </row>
    <row r="59" spans="1:6">
      <c r="A59" s="7">
        <f>Sheet2!C60</f>
        <v>0</v>
      </c>
      <c r="E59" s="7">
        <f>Sheet2!D60</f>
        <v>0</v>
      </c>
      <c r="F59" s="7" t="str">
        <f t="shared" si="0"/>
        <v/>
      </c>
    </row>
    <row r="60" spans="1:6">
      <c r="A60" s="7">
        <f>Sheet2!C61</f>
        <v>0</v>
      </c>
      <c r="E60" s="7">
        <f>Sheet2!D61</f>
        <v>0</v>
      </c>
      <c r="F60" s="7" t="str">
        <f t="shared" si="0"/>
        <v/>
      </c>
    </row>
    <row r="61" spans="1:6">
      <c r="A61" s="7">
        <f>Sheet2!C62</f>
        <v>0</v>
      </c>
      <c r="E61" s="7">
        <f>Sheet2!D62</f>
        <v>0</v>
      </c>
      <c r="F61" s="7" t="str">
        <f t="shared" si="0"/>
        <v/>
      </c>
    </row>
    <row r="62" spans="1:6">
      <c r="A62" s="7">
        <f>Sheet2!C63</f>
        <v>0</v>
      </c>
      <c r="E62" s="7">
        <f>Sheet2!D63</f>
        <v>0</v>
      </c>
      <c r="F62" s="7" t="str">
        <f t="shared" si="0"/>
        <v/>
      </c>
    </row>
    <row r="63" spans="1:6">
      <c r="A63" s="7">
        <f>Sheet2!C64</f>
        <v>0</v>
      </c>
      <c r="E63" s="7">
        <f>Sheet2!D64</f>
        <v>0</v>
      </c>
      <c r="F63" s="7" t="str">
        <f t="shared" si="0"/>
        <v/>
      </c>
    </row>
    <row r="64" spans="1:6">
      <c r="A64" s="7">
        <f>Sheet2!C65</f>
        <v>0</v>
      </c>
      <c r="E64" s="7">
        <f>Sheet2!D65</f>
        <v>0</v>
      </c>
      <c r="F64" s="7" t="str">
        <f t="shared" si="0"/>
        <v/>
      </c>
    </row>
    <row r="65" spans="1:6">
      <c r="A65" s="7">
        <f>Sheet2!C66</f>
        <v>0</v>
      </c>
      <c r="E65" s="7">
        <f>Sheet2!D66</f>
        <v>0</v>
      </c>
      <c r="F65" s="7" t="str">
        <f t="shared" si="0"/>
        <v/>
      </c>
    </row>
    <row r="66" spans="1:6">
      <c r="A66" s="7">
        <f>Sheet2!C67</f>
        <v>0</v>
      </c>
      <c r="E66" s="7">
        <f>Sheet2!D67</f>
        <v>0</v>
      </c>
      <c r="F66" s="7" t="str">
        <f t="shared" ref="F66:F98" si="1">IF(A66=0,"",E66)</f>
        <v/>
      </c>
    </row>
    <row r="67" spans="1:6">
      <c r="A67" s="7">
        <f>Sheet2!C68</f>
        <v>0</v>
      </c>
      <c r="E67" s="7">
        <f>Sheet2!D68</f>
        <v>0</v>
      </c>
      <c r="F67" s="7" t="str">
        <f t="shared" si="1"/>
        <v/>
      </c>
    </row>
    <row r="68" spans="1:6">
      <c r="A68" s="7">
        <f>Sheet2!C69</f>
        <v>0</v>
      </c>
      <c r="E68" s="7">
        <f>Sheet2!D69</f>
        <v>0</v>
      </c>
      <c r="F68" s="7" t="str">
        <f t="shared" si="1"/>
        <v/>
      </c>
    </row>
    <row r="69" spans="1:6">
      <c r="A69" s="7">
        <f>Sheet2!C70</f>
        <v>0</v>
      </c>
      <c r="E69" s="7">
        <f>Sheet2!D70</f>
        <v>0</v>
      </c>
      <c r="F69" s="7" t="str">
        <f t="shared" si="1"/>
        <v/>
      </c>
    </row>
    <row r="70" spans="1:6">
      <c r="A70" s="7">
        <f>Sheet2!C71</f>
        <v>0</v>
      </c>
      <c r="E70" s="7">
        <f>Sheet2!D71</f>
        <v>0</v>
      </c>
      <c r="F70" s="7" t="str">
        <f t="shared" si="1"/>
        <v/>
      </c>
    </row>
    <row r="71" spans="1:6">
      <c r="A71" s="7">
        <f>Sheet2!C72</f>
        <v>0</v>
      </c>
      <c r="E71" s="7">
        <f>Sheet2!D72</f>
        <v>0</v>
      </c>
      <c r="F71" s="7" t="str">
        <f t="shared" si="1"/>
        <v/>
      </c>
    </row>
    <row r="72" spans="1:6">
      <c r="A72" s="7">
        <f>Sheet2!C73</f>
        <v>0</v>
      </c>
      <c r="E72" s="7">
        <f>Sheet2!D73</f>
        <v>0</v>
      </c>
      <c r="F72" s="7" t="str">
        <f t="shared" si="1"/>
        <v/>
      </c>
    </row>
    <row r="73" spans="1:6">
      <c r="A73" s="7">
        <f>Sheet2!C74</f>
        <v>0</v>
      </c>
      <c r="E73" s="7">
        <f>Sheet2!D74</f>
        <v>0</v>
      </c>
      <c r="F73" s="7" t="str">
        <f t="shared" si="1"/>
        <v/>
      </c>
    </row>
    <row r="74" spans="1:6">
      <c r="A74" s="7">
        <f>Sheet2!C75</f>
        <v>0</v>
      </c>
      <c r="E74" s="7">
        <f>Sheet2!D75</f>
        <v>0</v>
      </c>
      <c r="F74" s="7" t="str">
        <f t="shared" si="1"/>
        <v/>
      </c>
    </row>
    <row r="75" spans="1:6">
      <c r="A75" s="7">
        <f>Sheet2!C76</f>
        <v>0</v>
      </c>
      <c r="E75" s="7">
        <f>Sheet2!D76</f>
        <v>0</v>
      </c>
      <c r="F75" s="7" t="str">
        <f t="shared" si="1"/>
        <v/>
      </c>
    </row>
    <row r="76" spans="1:6">
      <c r="A76" s="7">
        <f>Sheet2!C77</f>
        <v>0</v>
      </c>
      <c r="E76" s="7">
        <f>Sheet2!D77</f>
        <v>0</v>
      </c>
      <c r="F76" s="7" t="str">
        <f t="shared" si="1"/>
        <v/>
      </c>
    </row>
    <row r="77" spans="1:6">
      <c r="A77" s="7">
        <f>Sheet2!C78</f>
        <v>0</v>
      </c>
      <c r="E77" s="7">
        <f>Sheet2!D78</f>
        <v>0</v>
      </c>
      <c r="F77" s="7" t="str">
        <f t="shared" si="1"/>
        <v/>
      </c>
    </row>
    <row r="78" spans="1:6">
      <c r="A78" s="7">
        <f>Sheet2!C79</f>
        <v>0</v>
      </c>
      <c r="E78" s="7">
        <f>Sheet2!D79</f>
        <v>0</v>
      </c>
      <c r="F78" s="7" t="str">
        <f t="shared" si="1"/>
        <v/>
      </c>
    </row>
    <row r="79" spans="1:6">
      <c r="A79" s="7">
        <f>Sheet2!C80</f>
        <v>0</v>
      </c>
      <c r="E79" s="7">
        <f>Sheet2!D80</f>
        <v>0</v>
      </c>
      <c r="F79" s="7" t="str">
        <f t="shared" si="1"/>
        <v/>
      </c>
    </row>
    <row r="80" spans="1:6">
      <c r="A80" s="7">
        <f>Sheet2!C81</f>
        <v>0</v>
      </c>
      <c r="E80" s="7">
        <f>Sheet2!D81</f>
        <v>0</v>
      </c>
      <c r="F80" s="7" t="str">
        <f t="shared" si="1"/>
        <v/>
      </c>
    </row>
    <row r="81" spans="1:6">
      <c r="A81" s="7">
        <f>Sheet2!C82</f>
        <v>0</v>
      </c>
      <c r="E81" s="7">
        <f>Sheet2!D82</f>
        <v>0</v>
      </c>
      <c r="F81" s="7" t="str">
        <f t="shared" si="1"/>
        <v/>
      </c>
    </row>
    <row r="82" spans="1:6">
      <c r="A82" s="7">
        <f>Sheet2!C83</f>
        <v>0</v>
      </c>
      <c r="C82" s="7" t="str">
        <f t="shared" ref="C82:C99" si="2">IF(A82=0,"",B82)</f>
        <v/>
      </c>
      <c r="D82" s="7" t="str">
        <f t="shared" ref="D82:D100" si="3">IFERROR(C82,"")</f>
        <v/>
      </c>
      <c r="E82" s="7">
        <f>Sheet2!D83</f>
        <v>0</v>
      </c>
      <c r="F82" s="7" t="str">
        <f t="shared" si="1"/>
        <v/>
      </c>
    </row>
    <row r="83" spans="1:6">
      <c r="A83" s="7">
        <f>Sheet2!C84</f>
        <v>0</v>
      </c>
      <c r="C83" s="7" t="str">
        <f t="shared" si="2"/>
        <v/>
      </c>
      <c r="D83" s="7" t="str">
        <f t="shared" si="3"/>
        <v/>
      </c>
      <c r="E83" s="7">
        <f>Sheet2!D84</f>
        <v>0</v>
      </c>
      <c r="F83" s="7" t="str">
        <f t="shared" si="1"/>
        <v/>
      </c>
    </row>
    <row r="84" spans="1:6">
      <c r="A84" s="7">
        <f>Sheet2!C85</f>
        <v>0</v>
      </c>
      <c r="C84" s="7" t="str">
        <f t="shared" si="2"/>
        <v/>
      </c>
      <c r="D84" s="7" t="str">
        <f t="shared" si="3"/>
        <v/>
      </c>
      <c r="E84" s="7">
        <f>Sheet2!D85</f>
        <v>0</v>
      </c>
      <c r="F84" s="7" t="str">
        <f t="shared" si="1"/>
        <v/>
      </c>
    </row>
    <row r="85" spans="1:6">
      <c r="A85" s="7">
        <f>Sheet2!C86</f>
        <v>0</v>
      </c>
      <c r="C85" s="7" t="str">
        <f t="shared" si="2"/>
        <v/>
      </c>
      <c r="D85" s="7" t="str">
        <f t="shared" si="3"/>
        <v/>
      </c>
      <c r="E85" s="7">
        <f>Sheet2!D86</f>
        <v>0</v>
      </c>
      <c r="F85" s="7" t="str">
        <f t="shared" si="1"/>
        <v/>
      </c>
    </row>
    <row r="86" spans="1:6">
      <c r="A86" s="7">
        <f>Sheet2!C87</f>
        <v>0</v>
      </c>
      <c r="C86" s="7" t="str">
        <f t="shared" si="2"/>
        <v/>
      </c>
      <c r="D86" s="7" t="str">
        <f t="shared" si="3"/>
        <v/>
      </c>
      <c r="E86" s="7">
        <f>Sheet2!D87</f>
        <v>0</v>
      </c>
      <c r="F86" s="7" t="str">
        <f t="shared" si="1"/>
        <v/>
      </c>
    </row>
    <row r="87" spans="1:6">
      <c r="A87" s="7">
        <f>Sheet2!C88</f>
        <v>0</v>
      </c>
      <c r="C87" s="7" t="str">
        <f t="shared" si="2"/>
        <v/>
      </c>
      <c r="D87" s="7" t="str">
        <f t="shared" si="3"/>
        <v/>
      </c>
      <c r="E87" s="7">
        <f>Sheet2!D88</f>
        <v>0</v>
      </c>
      <c r="F87" s="7" t="str">
        <f t="shared" si="1"/>
        <v/>
      </c>
    </row>
    <row r="88" spans="1:6">
      <c r="A88" s="7">
        <f>Sheet2!C89</f>
        <v>0</v>
      </c>
      <c r="C88" s="7" t="str">
        <f t="shared" si="2"/>
        <v/>
      </c>
      <c r="D88" s="7" t="str">
        <f t="shared" si="3"/>
        <v/>
      </c>
      <c r="E88" s="7">
        <f>Sheet2!D89</f>
        <v>0</v>
      </c>
      <c r="F88" s="7" t="str">
        <f t="shared" si="1"/>
        <v/>
      </c>
    </row>
    <row r="89" spans="1:6">
      <c r="A89" s="7">
        <f>Sheet2!C90</f>
        <v>0</v>
      </c>
      <c r="C89" s="7" t="str">
        <f t="shared" si="2"/>
        <v/>
      </c>
      <c r="D89" s="7" t="str">
        <f t="shared" si="3"/>
        <v/>
      </c>
      <c r="E89" s="7">
        <f>Sheet2!D90</f>
        <v>0</v>
      </c>
      <c r="F89" s="7" t="str">
        <f t="shared" si="1"/>
        <v/>
      </c>
    </row>
    <row r="90" spans="1:6">
      <c r="A90" s="7">
        <f>Sheet2!C91</f>
        <v>0</v>
      </c>
      <c r="C90" s="7" t="str">
        <f t="shared" si="2"/>
        <v/>
      </c>
      <c r="D90" s="7" t="str">
        <f t="shared" si="3"/>
        <v/>
      </c>
      <c r="E90" s="7">
        <f>Sheet2!D91</f>
        <v>0</v>
      </c>
      <c r="F90" s="7" t="str">
        <f t="shared" si="1"/>
        <v/>
      </c>
    </row>
    <row r="91" spans="1:6">
      <c r="A91" s="7">
        <f>Sheet2!C92</f>
        <v>0</v>
      </c>
      <c r="C91" s="7" t="str">
        <f t="shared" si="2"/>
        <v/>
      </c>
      <c r="D91" s="7" t="str">
        <f t="shared" si="3"/>
        <v/>
      </c>
      <c r="E91" s="7">
        <f>Sheet2!D92</f>
        <v>0</v>
      </c>
      <c r="F91" s="7" t="str">
        <f t="shared" si="1"/>
        <v/>
      </c>
    </row>
    <row r="92" spans="1:6">
      <c r="A92" s="7">
        <f>Sheet2!C93</f>
        <v>0</v>
      </c>
      <c r="C92" s="7" t="str">
        <f t="shared" si="2"/>
        <v/>
      </c>
      <c r="D92" s="7" t="str">
        <f t="shared" si="3"/>
        <v/>
      </c>
      <c r="E92" s="7">
        <f>Sheet2!D93</f>
        <v>0</v>
      </c>
      <c r="F92" s="7" t="str">
        <f t="shared" si="1"/>
        <v/>
      </c>
    </row>
    <row r="93" spans="1:6">
      <c r="A93" s="7">
        <f>Sheet2!C94</f>
        <v>0</v>
      </c>
      <c r="C93" s="7" t="str">
        <f t="shared" si="2"/>
        <v/>
      </c>
      <c r="D93" s="7" t="str">
        <f t="shared" si="3"/>
        <v/>
      </c>
      <c r="E93" s="7">
        <f>Sheet2!D94</f>
        <v>0</v>
      </c>
      <c r="F93" s="7" t="str">
        <f t="shared" si="1"/>
        <v/>
      </c>
    </row>
    <row r="94" spans="1:6">
      <c r="A94" s="7">
        <f>Sheet2!C95</f>
        <v>0</v>
      </c>
      <c r="C94" s="7" t="str">
        <f t="shared" si="2"/>
        <v/>
      </c>
      <c r="D94" s="7" t="str">
        <f t="shared" si="3"/>
        <v/>
      </c>
      <c r="E94" s="7">
        <f>Sheet2!D95</f>
        <v>0</v>
      </c>
      <c r="F94" s="7" t="str">
        <f t="shared" si="1"/>
        <v/>
      </c>
    </row>
    <row r="95" spans="1:6">
      <c r="A95" s="7">
        <f>Sheet2!C96</f>
        <v>0</v>
      </c>
      <c r="C95" s="7" t="str">
        <f t="shared" si="2"/>
        <v/>
      </c>
      <c r="D95" s="7" t="str">
        <f t="shared" si="3"/>
        <v/>
      </c>
      <c r="E95" s="7">
        <f>Sheet2!D96</f>
        <v>0</v>
      </c>
      <c r="F95" s="7" t="str">
        <f t="shared" si="1"/>
        <v/>
      </c>
    </row>
    <row r="96" spans="1:6">
      <c r="A96" s="7">
        <f>Sheet2!C97</f>
        <v>0</v>
      </c>
      <c r="C96" s="7" t="str">
        <f t="shared" si="2"/>
        <v/>
      </c>
      <c r="D96" s="7" t="str">
        <f t="shared" si="3"/>
        <v/>
      </c>
      <c r="E96" s="7">
        <f>Sheet2!D97</f>
        <v>0</v>
      </c>
      <c r="F96" s="7" t="str">
        <f t="shared" si="1"/>
        <v/>
      </c>
    </row>
    <row r="97" spans="1:6">
      <c r="A97" s="7">
        <f>Sheet2!C98</f>
        <v>0</v>
      </c>
      <c r="C97" s="7" t="str">
        <f t="shared" si="2"/>
        <v/>
      </c>
      <c r="D97" s="7" t="str">
        <f t="shared" si="3"/>
        <v/>
      </c>
      <c r="E97" s="7">
        <f>Sheet2!D98</f>
        <v>0</v>
      </c>
      <c r="F97" s="7" t="str">
        <f t="shared" si="1"/>
        <v/>
      </c>
    </row>
    <row r="98" spans="1:6">
      <c r="A98" s="7">
        <f>Sheet2!C99</f>
        <v>0</v>
      </c>
      <c r="C98" s="7" t="str">
        <f t="shared" si="2"/>
        <v/>
      </c>
      <c r="D98" s="7" t="str">
        <f t="shared" si="3"/>
        <v/>
      </c>
      <c r="E98" s="7">
        <f>Sheet2!D99</f>
        <v>0</v>
      </c>
      <c r="F98" s="7" t="str">
        <f t="shared" si="1"/>
        <v/>
      </c>
    </row>
    <row r="99" spans="1:6">
      <c r="A99" s="7">
        <f>Sheet2!C100</f>
        <v>0</v>
      </c>
      <c r="C99" s="7" t="str">
        <f t="shared" si="2"/>
        <v/>
      </c>
      <c r="D99" s="7" t="str">
        <f t="shared" si="3"/>
        <v/>
      </c>
      <c r="E99" s="7">
        <f>Sheet2!D100</f>
        <v>0</v>
      </c>
    </row>
    <row r="100" spans="1:6">
      <c r="A100" s="7">
        <f>Sheet2!C101</f>
        <v>0</v>
      </c>
      <c r="D100" s="7">
        <f t="shared" si="3"/>
        <v>0</v>
      </c>
      <c r="E100" s="7">
        <f>Sheet2!D101</f>
        <v>0</v>
      </c>
    </row>
    <row r="101" spans="1:6">
      <c r="E101" s="7">
        <f>Sheet2!D102</f>
        <v>0</v>
      </c>
    </row>
    <row r="102" spans="1:6">
      <c r="E102" s="7">
        <f>Sheet2!D103</f>
        <v>0</v>
      </c>
    </row>
    <row r="103" spans="1:6">
      <c r="E103" s="7">
        <f>Sheet2!D104</f>
        <v>0</v>
      </c>
    </row>
    <row r="104" spans="1:6">
      <c r="E104" s="7">
        <f>Sheet2!D105</f>
        <v>0</v>
      </c>
    </row>
    <row r="105" spans="1:6">
      <c r="E105" s="7">
        <f>Sheet2!D106</f>
        <v>0</v>
      </c>
    </row>
    <row r="106" spans="1:6">
      <c r="E106" s="7">
        <f>Sheet2!D107</f>
        <v>0</v>
      </c>
    </row>
    <row r="107" spans="1:6">
      <c r="E107" s="7">
        <f>Sheet2!D108</f>
        <v>0</v>
      </c>
    </row>
    <row r="108" spans="1:6">
      <c r="E108" s="7">
        <f>Sheet2!D109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Y104"/>
  <sheetViews>
    <sheetView topLeftCell="O22" workbookViewId="0">
      <selection activeCell="X43" sqref="X43"/>
    </sheetView>
  </sheetViews>
  <sheetFormatPr defaultRowHeight="15"/>
  <cols>
    <col min="1" max="1" width="13.5703125" customWidth="1"/>
    <col min="2" max="2" width="19.7109375" customWidth="1"/>
    <col min="3" max="3" width="14.5703125" customWidth="1"/>
    <col min="4" max="4" width="12.140625" customWidth="1"/>
    <col min="5" max="5" width="15" customWidth="1"/>
    <col min="6" max="6" width="14" customWidth="1"/>
    <col min="7" max="7" width="12.85546875" customWidth="1"/>
    <col min="8" max="8" width="13" customWidth="1"/>
    <col min="9" max="9" width="16" customWidth="1"/>
    <col min="10" max="10" width="14.7109375" customWidth="1"/>
    <col min="11" max="11" width="15" customWidth="1"/>
    <col min="12" max="12" width="11.5703125" customWidth="1"/>
    <col min="13" max="13" width="13.5703125" customWidth="1"/>
    <col min="14" max="14" width="15" customWidth="1"/>
    <col min="15" max="15" width="14.7109375" customWidth="1"/>
    <col min="16" max="16" width="11.7109375" customWidth="1"/>
    <col min="17" max="17" width="13.7109375" customWidth="1"/>
    <col min="18" max="18" width="13.5703125" customWidth="1"/>
    <col min="19" max="20" width="13.140625" customWidth="1"/>
    <col min="21" max="21" width="12" customWidth="1"/>
    <col min="22" max="22" width="12.5703125" customWidth="1"/>
    <col min="23" max="23" width="13.28515625" customWidth="1"/>
    <col min="24" max="24" width="12.140625" customWidth="1"/>
  </cols>
  <sheetData>
    <row r="1" spans="1:25">
      <c r="A1" t="s">
        <v>46</v>
      </c>
      <c r="B1" t="s">
        <v>47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69</v>
      </c>
      <c r="Y1" t="s">
        <v>70</v>
      </c>
    </row>
    <row r="2" spans="1:25">
      <c r="A2">
        <v>0</v>
      </c>
      <c r="B2" t="str">
        <f>LEFT(Code!J2,50)</f>
        <v>Contractor and Subcontractor Payments</v>
      </c>
      <c r="C2" t="str">
        <f>LEFT(Code!J3,50)</f>
        <v>Contractor and Subcontractor Payments</v>
      </c>
      <c r="D2" t="str">
        <f>LEFT(Code!J4,50)</f>
        <v>Medical Marijuana</v>
      </c>
      <c r="E2" t="str">
        <f>LEFT(Code!J5,50)</f>
        <v>Medical Marijuana</v>
      </c>
      <c r="F2" t="str">
        <f>LEFT(Code!J6,50)</f>
        <v>League of Women Voters of PA-Citizen Education Fun</v>
      </c>
      <c r="G2" t="str">
        <f>LEFT(Code!J7,50)</f>
        <v>Climate Impact on PA</v>
      </c>
      <c r="H2" t="str">
        <f>LEFT(Code!J8,50)</f>
        <v>PA Supreme Court</v>
      </c>
      <c r="I2" t="str">
        <f>LEFT(Code!J9,50)</f>
        <v>PA Supreme Court</v>
      </c>
      <c r="J2" t="str">
        <f>LEFT(Code!J10,50)</f>
        <v>PA Public Utility Commission Meeting</v>
      </c>
      <c r="K2" t="str">
        <f>LEFT(Code!J11,50)</f>
        <v/>
      </c>
      <c r="L2" t="str">
        <f>LEFT(Code!J12,50)</f>
        <v/>
      </c>
      <c r="M2" t="str">
        <f>LEFT(Code!J13,50)</f>
        <v/>
      </c>
      <c r="N2" t="str">
        <f>LEFT(Code!J14,50)</f>
        <v/>
      </c>
      <c r="O2" t="str">
        <f>LEFT(Code!J15,50)</f>
        <v/>
      </c>
      <c r="P2" t="str">
        <f>LEFT(Code!J16,50)</f>
        <v/>
      </c>
      <c r="Q2" t="str">
        <f>LEFT(Code!J17,50)</f>
        <v/>
      </c>
      <c r="R2" t="str">
        <f>LEFT(Code!J18,50)</f>
        <v/>
      </c>
      <c r="S2" t="str">
        <f>LEFT(Code!J19,50)</f>
        <v/>
      </c>
      <c r="T2" t="str">
        <f>LEFT(Code!J20,50)</f>
        <v/>
      </c>
      <c r="U2" t="str">
        <f>LEFT(Code!J21,50)</f>
        <v/>
      </c>
      <c r="V2" t="str">
        <f>LEFT(Code!J22,50)</f>
        <v/>
      </c>
      <c r="W2" t="str">
        <f>LEFT(Code!J23,19)</f>
        <v/>
      </c>
      <c r="X2" t="str">
        <f>LEFT(Code!J24,50)</f>
        <v/>
      </c>
      <c r="Y2" t="str">
        <f>LEFT(Code!J25,50)</f>
        <v/>
      </c>
    </row>
    <row r="3" spans="1:25">
      <c r="A3">
        <v>1</v>
      </c>
      <c r="C3" t="str">
        <f>LEFT(Code!J2,50)</f>
        <v>Contractor and Subcontractor Payments</v>
      </c>
      <c r="D3" t="str">
        <f>LEFT(Code!J3,50)</f>
        <v>Contractor and Subcontractor Payments</v>
      </c>
      <c r="E3" t="str">
        <f>LEFT(Code!J4,50)</f>
        <v>Medical Marijuana</v>
      </c>
      <c r="F3" t="str">
        <f>LEFT(Code!J5,50)</f>
        <v>Medical Marijuana</v>
      </c>
      <c r="G3" t="str">
        <f>LEFT(Code!J6,50)</f>
        <v>League of Women Voters of PA-Citizen Education Fun</v>
      </c>
      <c r="H3" t="str">
        <f>LEFT(Code!J7,50)</f>
        <v>Climate Impact on PA</v>
      </c>
      <c r="I3" t="str">
        <f>LEFT(Code!J8,50)</f>
        <v>PA Supreme Court</v>
      </c>
      <c r="J3" t="str">
        <f>LEFT(Code!J9,50)</f>
        <v>PA Supreme Court</v>
      </c>
      <c r="K3" t="str">
        <f>LEFT(Code!J10,50)</f>
        <v>PA Public Utility Commission Meeting</v>
      </c>
      <c r="L3" t="str">
        <f>LEFT(Code!J11,50)</f>
        <v/>
      </c>
      <c r="M3" t="str">
        <f>LEFT(Code!J12,50)</f>
        <v/>
      </c>
      <c r="N3" t="str">
        <f>LEFT(Code!J13,50)</f>
        <v/>
      </c>
      <c r="O3" t="str">
        <f>LEFT(Code!J14,50)</f>
        <v/>
      </c>
      <c r="P3" t="str">
        <f>LEFT(Code!J15,50)</f>
        <v/>
      </c>
      <c r="Q3" t="str">
        <f>LEFT(Code!J16,50)</f>
        <v/>
      </c>
      <c r="R3" t="str">
        <f>LEFT(Code!J17,50)</f>
        <v/>
      </c>
      <c r="S3" t="str">
        <f>LEFT(Code!J18,50)</f>
        <v/>
      </c>
      <c r="T3" t="str">
        <f>LEFT(Code!J19,50)</f>
        <v/>
      </c>
      <c r="U3" t="str">
        <f>LEFT(Code!J20,50)</f>
        <v/>
      </c>
      <c r="V3" t="str">
        <f>LEFT(Code!J21,50)</f>
        <v/>
      </c>
      <c r="W3" t="str">
        <f>LEFT(Code!J22,19)</f>
        <v/>
      </c>
      <c r="X3" t="str">
        <f>LEFT(Code!J23,50)</f>
        <v/>
      </c>
      <c r="Y3" t="str">
        <f>LEFT(Code!J24,50)</f>
        <v/>
      </c>
    </row>
    <row r="4" spans="1:25">
      <c r="A4">
        <v>2</v>
      </c>
      <c r="D4" t="str">
        <f>LEFT(Code!J2,50)</f>
        <v>Contractor and Subcontractor Payments</v>
      </c>
      <c r="E4" t="str">
        <f>LEFT(Code!J3,50)</f>
        <v>Contractor and Subcontractor Payments</v>
      </c>
      <c r="F4" t="str">
        <f>LEFT(Code!J4,50)</f>
        <v>Medical Marijuana</v>
      </c>
      <c r="G4" t="str">
        <f>LEFT(Code!J5,50)</f>
        <v>Medical Marijuana</v>
      </c>
      <c r="H4" t="str">
        <f>LEFT(Code!J6,50)</f>
        <v>League of Women Voters of PA-Citizen Education Fun</v>
      </c>
      <c r="I4" t="str">
        <f>LEFT(Code!J7,50)</f>
        <v>Climate Impact on PA</v>
      </c>
      <c r="J4" t="str">
        <f>LEFT(Code!J8,50)</f>
        <v>PA Supreme Court</v>
      </c>
      <c r="K4" t="str">
        <f>LEFT(Code!J9,50)</f>
        <v>PA Supreme Court</v>
      </c>
      <c r="L4" t="str">
        <f>LEFT(Code!J10,50)</f>
        <v>PA Public Utility Commission Meeting</v>
      </c>
      <c r="M4" t="str">
        <f>LEFT(Code!J11,50)</f>
        <v/>
      </c>
      <c r="N4" t="str">
        <f>LEFT(Code!J12,50)</f>
        <v/>
      </c>
      <c r="O4" t="str">
        <f>LEFT(Code!J13,50)</f>
        <v/>
      </c>
      <c r="P4" t="str">
        <f>LEFT(Code!J14,50)</f>
        <v/>
      </c>
      <c r="Q4" t="str">
        <f>LEFT(Code!J15,50)</f>
        <v/>
      </c>
      <c r="R4" t="str">
        <f>LEFT(Code!J16,50)</f>
        <v/>
      </c>
      <c r="S4" t="str">
        <f>LEFT(Code!J17,50)</f>
        <v/>
      </c>
      <c r="T4" t="str">
        <f>LEFT(Code!J18,50)</f>
        <v/>
      </c>
      <c r="U4" t="str">
        <f>LEFT(Code!J19,50)</f>
        <v/>
      </c>
      <c r="V4" t="str">
        <f>LEFT(Code!J20,50)</f>
        <v/>
      </c>
      <c r="W4" t="str">
        <f>LEFT(Code!J21,19)</f>
        <v/>
      </c>
      <c r="X4" t="str">
        <f>LEFT(Code!J22,50)</f>
        <v/>
      </c>
      <c r="Y4" t="str">
        <f>LEFT(Code!J23,50)</f>
        <v/>
      </c>
    </row>
    <row r="5" spans="1:25">
      <c r="A5">
        <v>3</v>
      </c>
      <c r="E5" t="str">
        <f>LEFT(Code!J2,50)</f>
        <v>Contractor and Subcontractor Payments</v>
      </c>
      <c r="F5" t="str">
        <f>LEFT(Code!J3,50)</f>
        <v>Contractor and Subcontractor Payments</v>
      </c>
      <c r="G5" t="str">
        <f>LEFT(Code!J4,50)</f>
        <v>Medical Marijuana</v>
      </c>
      <c r="H5" t="str">
        <f>LEFT(Code!J5,50)</f>
        <v>Medical Marijuana</v>
      </c>
      <c r="I5" t="str">
        <f>LEFT(Code!J6,50)</f>
        <v>League of Women Voters of PA-Citizen Education Fun</v>
      </c>
      <c r="J5" t="str">
        <f>LEFT(Code!J7,50)</f>
        <v>Climate Impact on PA</v>
      </c>
      <c r="K5" t="str">
        <f>LEFT(Code!J8,50)</f>
        <v>PA Supreme Court</v>
      </c>
      <c r="L5" t="str">
        <f>LEFT(Code!J9,50)</f>
        <v>PA Supreme Court</v>
      </c>
      <c r="M5" t="str">
        <f>LEFT(Code!J10,50)</f>
        <v>PA Public Utility Commission Meeting</v>
      </c>
      <c r="N5" t="str">
        <f>LEFT(Code!J11,50)</f>
        <v/>
      </c>
      <c r="O5" t="str">
        <f>LEFT(Code!J12,50)</f>
        <v/>
      </c>
      <c r="P5" t="str">
        <f>LEFT(Code!J13,50)</f>
        <v/>
      </c>
      <c r="Q5" t="str">
        <f>LEFT(Code!J14,50)</f>
        <v/>
      </c>
      <c r="R5" t="str">
        <f>LEFT(Code!J15,50)</f>
        <v/>
      </c>
      <c r="S5" t="str">
        <f>LEFT(Code!J16,50)</f>
        <v/>
      </c>
      <c r="T5" t="str">
        <f>LEFT(Code!J17,50)</f>
        <v/>
      </c>
      <c r="U5" t="str">
        <f>LEFT(Code!J18,50)</f>
        <v/>
      </c>
      <c r="V5" t="str">
        <f>LEFT(Code!J19,50)</f>
        <v/>
      </c>
      <c r="W5" t="str">
        <f>LEFT(Code!J20,19)</f>
        <v/>
      </c>
      <c r="X5" t="str">
        <f>LEFT(Code!J21,50)</f>
        <v/>
      </c>
      <c r="Y5" t="str">
        <f>LEFT(Code!J22,50)</f>
        <v/>
      </c>
    </row>
    <row r="6" spans="1:25">
      <c r="A6">
        <v>4</v>
      </c>
      <c r="F6" t="str">
        <f>LEFT(Code!J2,50)</f>
        <v>Contractor and Subcontractor Payments</v>
      </c>
      <c r="G6" t="str">
        <f>LEFT(Code!J3,50)</f>
        <v>Contractor and Subcontractor Payments</v>
      </c>
      <c r="H6" t="str">
        <f>LEFT(Code!J4,50)</f>
        <v>Medical Marijuana</v>
      </c>
      <c r="I6" t="str">
        <f>LEFT(Code!J5,50)</f>
        <v>Medical Marijuana</v>
      </c>
      <c r="J6" t="str">
        <f>LEFT(Code!J6,50)</f>
        <v>League of Women Voters of PA-Citizen Education Fun</v>
      </c>
      <c r="K6" t="str">
        <f>LEFT(Code!J7,50)</f>
        <v>Climate Impact on PA</v>
      </c>
      <c r="L6" t="str">
        <f>LEFT(Code!J8,50)</f>
        <v>PA Supreme Court</v>
      </c>
      <c r="M6" t="str">
        <f>LEFT(Code!J9,50)</f>
        <v>PA Supreme Court</v>
      </c>
      <c r="N6" t="str">
        <f>LEFT(Code!J10,50)</f>
        <v>PA Public Utility Commission Meeting</v>
      </c>
      <c r="O6" t="str">
        <f>LEFT(Code!J11,50)</f>
        <v/>
      </c>
      <c r="P6" t="str">
        <f>LEFT(Code!J12,50)</f>
        <v/>
      </c>
      <c r="Q6" t="str">
        <f>LEFT(Code!J13,50)</f>
        <v/>
      </c>
      <c r="R6" t="str">
        <f>LEFT(Code!J14,50)</f>
        <v/>
      </c>
      <c r="S6" t="str">
        <f>LEFT(Code!J15,50)</f>
        <v/>
      </c>
      <c r="T6" t="str">
        <f>LEFT(Code!J16,50)</f>
        <v/>
      </c>
      <c r="U6" t="str">
        <f>LEFT(Code!J17,50)</f>
        <v/>
      </c>
      <c r="V6" t="str">
        <f>LEFT(Code!J18,50)</f>
        <v/>
      </c>
      <c r="W6" t="str">
        <f>LEFT(Code!J19,19)</f>
        <v/>
      </c>
      <c r="X6" t="str">
        <f>LEFT(Code!J20,50)</f>
        <v/>
      </c>
      <c r="Y6" t="str">
        <f>LEFT(Code!J21,50)</f>
        <v/>
      </c>
    </row>
    <row r="7" spans="1:25">
      <c r="A7">
        <v>5</v>
      </c>
      <c r="G7" t="str">
        <f>LEFT(Code!J2,50)</f>
        <v>Contractor and Subcontractor Payments</v>
      </c>
      <c r="H7" t="str">
        <f>LEFT(Code!J3,50)</f>
        <v>Contractor and Subcontractor Payments</v>
      </c>
      <c r="I7" t="str">
        <f>LEFT(Code!J4,50)</f>
        <v>Medical Marijuana</v>
      </c>
      <c r="J7" t="str">
        <f>LEFT(Code!J5,50)</f>
        <v>Medical Marijuana</v>
      </c>
      <c r="K7" t="str">
        <f>LEFT(Code!J6,50)</f>
        <v>League of Women Voters of PA-Citizen Education Fun</v>
      </c>
      <c r="L7" t="str">
        <f>LEFT(Code!J7,50)</f>
        <v>Climate Impact on PA</v>
      </c>
      <c r="M7" t="str">
        <f>LEFT(Code!J8,50)</f>
        <v>PA Supreme Court</v>
      </c>
      <c r="N7" t="str">
        <f>LEFT(Code!J9,50)</f>
        <v>PA Supreme Court</v>
      </c>
      <c r="O7" t="str">
        <f>LEFT(Code!J10,50)</f>
        <v>PA Public Utility Commission Meeting</v>
      </c>
      <c r="P7" t="str">
        <f>LEFT(Code!J11,50)</f>
        <v/>
      </c>
      <c r="Q7" t="str">
        <f>LEFT(Code!J12,50)</f>
        <v/>
      </c>
      <c r="R7" t="str">
        <f>LEFT(Code!J13,50)</f>
        <v/>
      </c>
      <c r="S7" t="str">
        <f>LEFT(Code!J14,50)</f>
        <v/>
      </c>
      <c r="T7" t="str">
        <f>LEFT(Code!J15,50)</f>
        <v/>
      </c>
      <c r="U7" t="str">
        <f>LEFT(Code!J16,50)</f>
        <v/>
      </c>
      <c r="V7" t="str">
        <f>LEFT(Code!J17,50)</f>
        <v/>
      </c>
      <c r="W7" t="str">
        <f>LEFT(Code!J18,19)</f>
        <v/>
      </c>
      <c r="X7" t="str">
        <f>LEFT(Code!J19,50)</f>
        <v/>
      </c>
      <c r="Y7" t="str">
        <f>LEFT(Code!J20,50)</f>
        <v/>
      </c>
    </row>
    <row r="8" spans="1:25">
      <c r="A8">
        <v>6</v>
      </c>
      <c r="H8" t="str">
        <f>LEFT(Code!J2,50)</f>
        <v>Contractor and Subcontractor Payments</v>
      </c>
      <c r="I8" t="str">
        <f>LEFT(Code!J3,50)</f>
        <v>Contractor and Subcontractor Payments</v>
      </c>
      <c r="J8" t="str">
        <f>LEFT(Code!J4,50)</f>
        <v>Medical Marijuana</v>
      </c>
      <c r="K8" t="str">
        <f>LEFT(Code!J5,50)</f>
        <v>Medical Marijuana</v>
      </c>
      <c r="L8" t="str">
        <f>LEFT(Code!J6,50)</f>
        <v>League of Women Voters of PA-Citizen Education Fun</v>
      </c>
      <c r="M8" t="str">
        <f>LEFT(Code!J7,50)</f>
        <v>Climate Impact on PA</v>
      </c>
      <c r="N8" t="str">
        <f>LEFT(Code!J8,50)</f>
        <v>PA Supreme Court</v>
      </c>
      <c r="O8" t="str">
        <f>LEFT(Code!J9,50)</f>
        <v>PA Supreme Court</v>
      </c>
      <c r="P8" t="str">
        <f>LEFT(Code!J10,50)</f>
        <v>PA Public Utility Commission Meeting</v>
      </c>
      <c r="Q8" t="str">
        <f>LEFT(Code!J11,50)</f>
        <v/>
      </c>
      <c r="R8" t="str">
        <f>LEFT(Code!J12,50)</f>
        <v/>
      </c>
      <c r="S8" t="str">
        <f>LEFT(Code!J13,50)</f>
        <v/>
      </c>
      <c r="T8" t="str">
        <f>LEFT(Code!J14,50)</f>
        <v/>
      </c>
      <c r="U8" t="str">
        <f>LEFT(Code!J15,50)</f>
        <v/>
      </c>
      <c r="V8" t="str">
        <f>LEFT(Code!J16,50)</f>
        <v/>
      </c>
      <c r="W8" t="str">
        <f>LEFT(Code!J17,19)</f>
        <v/>
      </c>
      <c r="X8" t="str">
        <f>LEFT(Code!J18,50)</f>
        <v/>
      </c>
      <c r="Y8" t="str">
        <f>LEFT(Code!J19,50)</f>
        <v/>
      </c>
    </row>
    <row r="9" spans="1:25">
      <c r="A9">
        <v>7</v>
      </c>
      <c r="I9" t="str">
        <f>LEFT(Code!J2,50)</f>
        <v>Contractor and Subcontractor Payments</v>
      </c>
      <c r="J9" t="str">
        <f>LEFT(Code!J3,50)</f>
        <v>Contractor and Subcontractor Payments</v>
      </c>
      <c r="K9" t="str">
        <f>LEFT(Code!J4,50)</f>
        <v>Medical Marijuana</v>
      </c>
      <c r="L9" t="str">
        <f>LEFT(Code!J5,50)</f>
        <v>Medical Marijuana</v>
      </c>
      <c r="M9" t="str">
        <f>LEFT(Code!J6,50)</f>
        <v>League of Women Voters of PA-Citizen Education Fun</v>
      </c>
      <c r="N9" t="str">
        <f>LEFT(Code!J7,50)</f>
        <v>Climate Impact on PA</v>
      </c>
      <c r="O9" t="str">
        <f>LEFT(Code!J8,50)</f>
        <v>PA Supreme Court</v>
      </c>
      <c r="P9" t="str">
        <f>LEFT(Code!J9,50)</f>
        <v>PA Supreme Court</v>
      </c>
      <c r="Q9" t="str">
        <f>LEFT(Code!J10,50)</f>
        <v>PA Public Utility Commission Meeting</v>
      </c>
      <c r="R9" t="str">
        <f>LEFT(Code!J11,50)</f>
        <v/>
      </c>
      <c r="S9" t="str">
        <f>LEFT(Code!J12,50)</f>
        <v/>
      </c>
      <c r="T9" t="str">
        <f>LEFT(Code!J13,50)</f>
        <v/>
      </c>
      <c r="U9" t="str">
        <f>LEFT(Code!J14,50)</f>
        <v/>
      </c>
      <c r="V9" t="str">
        <f>LEFT(Code!J15,50)</f>
        <v/>
      </c>
      <c r="W9" t="str">
        <f>LEFT(Code!J16,19)</f>
        <v/>
      </c>
      <c r="X9" t="str">
        <f>LEFT(Code!J17,50)</f>
        <v/>
      </c>
      <c r="Y9" t="str">
        <f>LEFT(Code!J18,50)</f>
        <v/>
      </c>
    </row>
    <row r="10" spans="1:25">
      <c r="A10">
        <v>8</v>
      </c>
      <c r="J10" t="str">
        <f>LEFT(Code!J2,50)</f>
        <v>Contractor and Subcontractor Payments</v>
      </c>
      <c r="K10" t="str">
        <f>LEFT(Code!J3,50)</f>
        <v>Contractor and Subcontractor Payments</v>
      </c>
      <c r="L10" t="str">
        <f>LEFT(Code!J4,50)</f>
        <v>Medical Marijuana</v>
      </c>
      <c r="M10" t="str">
        <f>LEFT(Code!J5,50)</f>
        <v>Medical Marijuana</v>
      </c>
      <c r="N10" t="str">
        <f>LEFT(Code!J6,50)</f>
        <v>League of Women Voters of PA-Citizen Education Fun</v>
      </c>
      <c r="O10" t="str">
        <f>LEFT(Code!J7,50)</f>
        <v>Climate Impact on PA</v>
      </c>
      <c r="P10" t="str">
        <f>LEFT(Code!J8,50)</f>
        <v>PA Supreme Court</v>
      </c>
      <c r="Q10" t="str">
        <f>LEFT(Code!J9,50)</f>
        <v>PA Supreme Court</v>
      </c>
      <c r="R10" t="str">
        <f>LEFT(Code!J10,50)</f>
        <v>PA Public Utility Commission Meeting</v>
      </c>
      <c r="S10" t="str">
        <f>LEFT(Code!J11,50)</f>
        <v/>
      </c>
      <c r="T10" t="str">
        <f>LEFT(Code!J12,50)</f>
        <v/>
      </c>
      <c r="U10" t="str">
        <f>LEFT(Code!J13,50)</f>
        <v/>
      </c>
      <c r="V10" t="str">
        <f>LEFT(Code!J14,50)</f>
        <v/>
      </c>
      <c r="W10" t="str">
        <f>LEFT(Code!J15,50)</f>
        <v/>
      </c>
      <c r="X10" t="str">
        <f>LEFT(Code!J16,50)</f>
        <v/>
      </c>
      <c r="Y10" t="str">
        <f>LEFT(Code!J17,50)</f>
        <v/>
      </c>
    </row>
    <row r="11" spans="1:25">
      <c r="A11">
        <v>9</v>
      </c>
      <c r="K11" t="str">
        <f>LEFT(Code!J2,50)</f>
        <v>Contractor and Subcontractor Payments</v>
      </c>
      <c r="L11" t="str">
        <f>LEFT(Code!J3,50)</f>
        <v>Contractor and Subcontractor Payments</v>
      </c>
      <c r="M11" t="str">
        <f>LEFT(Code!J4,50)</f>
        <v>Medical Marijuana</v>
      </c>
      <c r="N11" t="str">
        <f>LEFT(Code!J5,50)</f>
        <v>Medical Marijuana</v>
      </c>
      <c r="O11" t="str">
        <f>LEFT(Code!J6,50)</f>
        <v>League of Women Voters of PA-Citizen Education Fun</v>
      </c>
      <c r="P11" t="str">
        <f>LEFT(Code!J7,50)</f>
        <v>Climate Impact on PA</v>
      </c>
      <c r="Q11" t="str">
        <f>LEFT(Code!J8,50)</f>
        <v>PA Supreme Court</v>
      </c>
      <c r="R11" t="str">
        <f>LEFT(Code!J9,50)</f>
        <v>PA Supreme Court</v>
      </c>
      <c r="S11" t="str">
        <f>LEFT(Code!J10,50)</f>
        <v>PA Public Utility Commission Meeting</v>
      </c>
      <c r="T11" t="str">
        <f>LEFT(Code!J11,50)</f>
        <v/>
      </c>
      <c r="U11" t="str">
        <f>LEFT(Code!J12,50)</f>
        <v/>
      </c>
      <c r="V11" t="str">
        <f>LEFT(Code!J13,50)</f>
        <v/>
      </c>
      <c r="W11" t="str">
        <f>LEFT(Code!J14,50)</f>
        <v/>
      </c>
      <c r="X11" t="str">
        <f>LEFT(Code!J15,50)</f>
        <v/>
      </c>
      <c r="Y11" t="str">
        <f>LEFT(Code!J16,50)</f>
        <v/>
      </c>
    </row>
    <row r="12" spans="1:25">
      <c r="A12">
        <v>10</v>
      </c>
      <c r="L12" t="str">
        <f>LEFT(Code!J2,50)</f>
        <v>Contractor and Subcontractor Payments</v>
      </c>
      <c r="M12" t="str">
        <f>LEFT(Code!J3,50)</f>
        <v>Contractor and Subcontractor Payments</v>
      </c>
      <c r="N12" t="str">
        <f>LEFT(Code!J4,50)</f>
        <v>Medical Marijuana</v>
      </c>
      <c r="O12" t="str">
        <f>LEFT(Code!J5,50)</f>
        <v>Medical Marijuana</v>
      </c>
      <c r="P12" t="str">
        <f>LEFT(Code!J6,50)</f>
        <v>League of Women Voters of PA-Citizen Education Fun</v>
      </c>
      <c r="Q12" t="str">
        <f>LEFT(Code!J7,50)</f>
        <v>Climate Impact on PA</v>
      </c>
      <c r="R12" t="str">
        <f>LEFT(Code!J8,50)</f>
        <v>PA Supreme Court</v>
      </c>
      <c r="S12" t="str">
        <f>LEFT(Code!J9,50)</f>
        <v>PA Supreme Court</v>
      </c>
      <c r="T12" t="str">
        <f>LEFT(Code!J10,50)</f>
        <v>PA Public Utility Commission Meeting</v>
      </c>
      <c r="U12" t="str">
        <f>LEFT(Code!J11,50)</f>
        <v/>
      </c>
      <c r="V12" t="str">
        <f>LEFT(Code!J12,50)</f>
        <v/>
      </c>
      <c r="W12" t="str">
        <f>LEFT(Code!J13,50)</f>
        <v/>
      </c>
      <c r="X12" t="str">
        <f>LEFT(Code!J14,50)</f>
        <v/>
      </c>
      <c r="Y12" t="str">
        <f>LEFT(Code!J15,50)</f>
        <v/>
      </c>
    </row>
    <row r="13" spans="1:25">
      <c r="A13">
        <v>11</v>
      </c>
      <c r="M13" t="str">
        <f>LEFT(Code!J2,50)</f>
        <v>Contractor and Subcontractor Payments</v>
      </c>
      <c r="N13" t="str">
        <f>LEFT(Code!J3,50)</f>
        <v>Contractor and Subcontractor Payments</v>
      </c>
      <c r="O13" t="str">
        <f>LEFT(Code!J4,50)</f>
        <v>Medical Marijuana</v>
      </c>
      <c r="P13" t="str">
        <f>LEFT(Code!J5,50)</f>
        <v>Medical Marijuana</v>
      </c>
      <c r="Q13" t="str">
        <f>LEFT(Code!J6,50)</f>
        <v>League of Women Voters of PA-Citizen Education Fun</v>
      </c>
      <c r="R13" t="str">
        <f>LEFT(Code!J7,50)</f>
        <v>Climate Impact on PA</v>
      </c>
      <c r="S13" t="str">
        <f>LEFT(Code!J8,50)</f>
        <v>PA Supreme Court</v>
      </c>
      <c r="T13" t="str">
        <f>LEFT(Code!J9,50)</f>
        <v>PA Supreme Court</v>
      </c>
      <c r="U13" t="str">
        <f>LEFT(Code!J10,50)</f>
        <v>PA Public Utility Commission Meeting</v>
      </c>
      <c r="V13" t="str">
        <f>LEFT(Code!J11,50)</f>
        <v/>
      </c>
      <c r="W13" t="str">
        <f>LEFT(Code!J12,50)</f>
        <v/>
      </c>
      <c r="X13" t="str">
        <f>LEFT(Code!J13,50)</f>
        <v/>
      </c>
      <c r="Y13" t="str">
        <f>LEFT(Code!J14,50)</f>
        <v/>
      </c>
    </row>
    <row r="14" spans="1:25">
      <c r="A14">
        <v>12</v>
      </c>
      <c r="N14" t="str">
        <f>LEFT(Code!J2,50)</f>
        <v>Contractor and Subcontractor Payments</v>
      </c>
      <c r="O14" t="str">
        <f>LEFT(Code!J3,50)</f>
        <v>Contractor and Subcontractor Payments</v>
      </c>
      <c r="P14" t="str">
        <f>LEFT(Code!J4,50)</f>
        <v>Medical Marijuana</v>
      </c>
      <c r="Q14" t="str">
        <f>LEFT(Code!J5,50)</f>
        <v>Medical Marijuana</v>
      </c>
      <c r="R14" t="str">
        <f>LEFT(Code!J6,50)</f>
        <v>League of Women Voters of PA-Citizen Education Fun</v>
      </c>
      <c r="S14" t="str">
        <f>LEFT(Code!J7,50)</f>
        <v>Climate Impact on PA</v>
      </c>
      <c r="T14" t="str">
        <f>LEFT(Code!J8,50)</f>
        <v>PA Supreme Court</v>
      </c>
      <c r="U14" t="str">
        <f>LEFT(Code!J9,50)</f>
        <v>PA Supreme Court</v>
      </c>
      <c r="V14" t="str">
        <f>LEFT(Code!J10,50)</f>
        <v>PA Public Utility Commission Meeting</v>
      </c>
      <c r="W14" t="str">
        <f>LEFT(Code!J11,50)</f>
        <v/>
      </c>
      <c r="X14" t="str">
        <f>LEFT(Code!J12,50)</f>
        <v/>
      </c>
      <c r="Y14" t="str">
        <f>LEFT(Code!J13,50)</f>
        <v/>
      </c>
    </row>
    <row r="15" spans="1:25">
      <c r="A15">
        <v>13</v>
      </c>
      <c r="O15" t="str">
        <f>LEFT(Code!J2,50)</f>
        <v>Contractor and Subcontractor Payments</v>
      </c>
      <c r="P15" t="str">
        <f>LEFT(Code!J3,50)</f>
        <v>Contractor and Subcontractor Payments</v>
      </c>
      <c r="Q15" t="str">
        <f>LEFT(Code!J4,50)</f>
        <v>Medical Marijuana</v>
      </c>
      <c r="R15" t="str">
        <f>LEFT(Code!J5,50)</f>
        <v>Medical Marijuana</v>
      </c>
      <c r="S15" t="str">
        <f>LEFT(Code!J6,50)</f>
        <v>League of Women Voters of PA-Citizen Education Fun</v>
      </c>
      <c r="T15" t="str">
        <f>LEFT(Code!J7,50)</f>
        <v>Climate Impact on PA</v>
      </c>
      <c r="U15" t="str">
        <f>LEFT(Code!J8,50)</f>
        <v>PA Supreme Court</v>
      </c>
      <c r="V15" t="str">
        <f>LEFT(Code!J9,50)</f>
        <v>PA Supreme Court</v>
      </c>
      <c r="W15" t="str">
        <f>LEFT(Code!J10,50)</f>
        <v>PA Public Utility Commission Meeting</v>
      </c>
      <c r="X15" t="str">
        <f>LEFT(Code!J11,50)</f>
        <v/>
      </c>
      <c r="Y15" t="str">
        <f>LEFT(Code!J12,50)</f>
        <v/>
      </c>
    </row>
    <row r="16" spans="1:25">
      <c r="A16">
        <v>14</v>
      </c>
      <c r="P16" t="str">
        <f>LEFT(Code!J2,50)</f>
        <v>Contractor and Subcontractor Payments</v>
      </c>
      <c r="Q16" t="str">
        <f>LEFT(Code!J3,50)</f>
        <v>Contractor and Subcontractor Payments</v>
      </c>
      <c r="R16" t="str">
        <f>LEFT(Code!J4,50)</f>
        <v>Medical Marijuana</v>
      </c>
      <c r="S16" t="str">
        <f>LEFT(Code!J5,50)</f>
        <v>Medical Marijuana</v>
      </c>
      <c r="T16" t="str">
        <f>LEFT(Code!J6,50)</f>
        <v>League of Women Voters of PA-Citizen Education Fun</v>
      </c>
      <c r="U16" t="str">
        <f>LEFT(Code!J7,50)</f>
        <v>Climate Impact on PA</v>
      </c>
      <c r="V16" t="str">
        <f>LEFT(Code!J8,50)</f>
        <v>PA Supreme Court</v>
      </c>
      <c r="W16" t="str">
        <f>LEFT(Code!J9,50)</f>
        <v>PA Supreme Court</v>
      </c>
      <c r="X16" t="str">
        <f>LEFT(Code!J10,50)</f>
        <v>PA Public Utility Commission Meeting</v>
      </c>
      <c r="Y16" t="str">
        <f>LEFT(Code!J11,50)</f>
        <v/>
      </c>
    </row>
    <row r="17" spans="1:25">
      <c r="A17">
        <v>15</v>
      </c>
      <c r="Q17" t="str">
        <f>LEFT(Code!J2,50)</f>
        <v>Contractor and Subcontractor Payments</v>
      </c>
      <c r="R17" t="str">
        <f>LEFT(Code!J3,50)</f>
        <v>Contractor and Subcontractor Payments</v>
      </c>
      <c r="S17" t="str">
        <f>LEFT(Code!J4,50)</f>
        <v>Medical Marijuana</v>
      </c>
      <c r="T17" t="str">
        <f>LEFT(Code!J5,50)</f>
        <v>Medical Marijuana</v>
      </c>
      <c r="U17" t="str">
        <f>LEFT(Code!J6,50)</f>
        <v>League of Women Voters of PA-Citizen Education Fun</v>
      </c>
      <c r="V17" t="str">
        <f>LEFT(Code!J7,50)</f>
        <v>Climate Impact on PA</v>
      </c>
      <c r="W17" t="str">
        <f>LEFT(Code!J8,50)</f>
        <v>PA Supreme Court</v>
      </c>
      <c r="X17" t="str">
        <f>LEFT(Code!J9,50)</f>
        <v>PA Supreme Court</v>
      </c>
      <c r="Y17" t="str">
        <f>LEFT(Code!J10,50)</f>
        <v>PA Public Utility Commission Meeting</v>
      </c>
    </row>
    <row r="18" spans="1:25">
      <c r="A18">
        <v>16</v>
      </c>
      <c r="R18" t="str">
        <f>LEFT(Code!J2,50)</f>
        <v>Contractor and Subcontractor Payments</v>
      </c>
      <c r="S18" t="str">
        <f>LEFT(Code!J3,50)</f>
        <v>Contractor and Subcontractor Payments</v>
      </c>
      <c r="T18" t="str">
        <f>LEFT(Code!J4,50)</f>
        <v>Medical Marijuana</v>
      </c>
      <c r="U18" t="str">
        <f>LEFT(Code!J5,50)</f>
        <v>Medical Marijuana</v>
      </c>
      <c r="V18" t="str">
        <f>LEFT(Code!J6,50)</f>
        <v>League of Women Voters of PA-Citizen Education Fun</v>
      </c>
      <c r="W18" t="str">
        <f>LEFT(Code!J7,50)</f>
        <v>Climate Impact on PA</v>
      </c>
      <c r="X18" t="str">
        <f>LEFT(Code!J8,50)</f>
        <v>PA Supreme Court</v>
      </c>
      <c r="Y18" t="str">
        <f>LEFT(Code!J9,50)</f>
        <v>PA Supreme Court</v>
      </c>
    </row>
    <row r="19" spans="1:25">
      <c r="A19">
        <v>17</v>
      </c>
      <c r="S19" t="str">
        <f>LEFT(Code!J2,50)</f>
        <v>Contractor and Subcontractor Payments</v>
      </c>
      <c r="T19" t="str">
        <f>LEFT(Code!J3,50)</f>
        <v>Contractor and Subcontractor Payments</v>
      </c>
      <c r="U19" t="str">
        <f>LEFT(Code!J4,50)</f>
        <v>Medical Marijuana</v>
      </c>
      <c r="V19" t="str">
        <f>LEFT(Code!J5,50)</f>
        <v>Medical Marijuana</v>
      </c>
      <c r="W19" t="str">
        <f>LEFT(Code!J6,50)</f>
        <v>League of Women Voters of PA-Citizen Education Fun</v>
      </c>
      <c r="X19" t="str">
        <f>LEFT(Code!J7,50)</f>
        <v>Climate Impact on PA</v>
      </c>
      <c r="Y19" t="str">
        <f>LEFT(Code!J8,50)</f>
        <v>PA Supreme Court</v>
      </c>
    </row>
    <row r="20" spans="1:25">
      <c r="A20">
        <v>18</v>
      </c>
      <c r="T20" t="str">
        <f>LEFT(Code!J2,50)</f>
        <v>Contractor and Subcontractor Payments</v>
      </c>
      <c r="U20" t="str">
        <f>LEFT(Code!J3,50)</f>
        <v>Contractor and Subcontractor Payments</v>
      </c>
      <c r="V20" t="str">
        <f>LEFT(Code!J4,50)</f>
        <v>Medical Marijuana</v>
      </c>
      <c r="W20" t="str">
        <f>LEFT(Code!J5,50)</f>
        <v>Medical Marijuana</v>
      </c>
      <c r="X20" t="str">
        <f>LEFT(Code!J6,50)</f>
        <v>League of Women Voters of PA-Citizen Education Fun</v>
      </c>
      <c r="Y20" t="str">
        <f>LEFT(Code!J7,50)</f>
        <v>Climate Impact on PA</v>
      </c>
    </row>
    <row r="21" spans="1:25">
      <c r="A21">
        <v>19</v>
      </c>
      <c r="U21" t="str">
        <f>LEFT(Code!J2,50)</f>
        <v>Contractor and Subcontractor Payments</v>
      </c>
      <c r="V21" t="str">
        <f>LEFT(Code!J3,50)</f>
        <v>Contractor and Subcontractor Payments</v>
      </c>
      <c r="W21" t="str">
        <f>LEFT(Code!J4,50)</f>
        <v>Medical Marijuana</v>
      </c>
      <c r="X21" t="str">
        <f>LEFT(Code!J5,50)</f>
        <v>Medical Marijuana</v>
      </c>
      <c r="Y21" t="str">
        <f>LEFT(Code!J6,50)</f>
        <v>League of Women Voters of PA-Citizen Education Fun</v>
      </c>
    </row>
    <row r="22" spans="1:25">
      <c r="A22">
        <v>20</v>
      </c>
      <c r="V22" t="str">
        <f>LEFT(Code!J2,50)</f>
        <v>Contractor and Subcontractor Payments</v>
      </c>
      <c r="W22" t="str">
        <f>LEFT(Code!J3,50)</f>
        <v>Contractor and Subcontractor Payments</v>
      </c>
      <c r="X22" t="str">
        <f>LEFT(Code!J4,50)</f>
        <v>Medical Marijuana</v>
      </c>
      <c r="Y22" t="str">
        <f>LEFT(Code!J5,509)</f>
        <v>Medical Marijuana</v>
      </c>
    </row>
    <row r="23" spans="1:25">
      <c r="A23">
        <v>21</v>
      </c>
      <c r="W23" s="71" t="str">
        <f>LEFT(Code!J2,50)</f>
        <v>Contractor and Subcontractor Payments</v>
      </c>
      <c r="X23" t="str">
        <f>LEFT(Code!J3,50)</f>
        <v>Contractor and Subcontractor Payments</v>
      </c>
      <c r="Y23" t="str">
        <f>LEFT(Code!J4,50)</f>
        <v>Medical Marijuana</v>
      </c>
    </row>
    <row r="24" spans="1:25">
      <c r="A24">
        <v>22</v>
      </c>
      <c r="W24" s="71"/>
      <c r="X24" t="str">
        <f>LEFT(Code!J2,50)</f>
        <v>Contractor and Subcontractor Payments</v>
      </c>
      <c r="Y24" t="str">
        <f>LEFT(Code!J3,50)</f>
        <v>Contractor and Subcontractor Payments</v>
      </c>
    </row>
    <row r="25" spans="1:25">
      <c r="A25">
        <v>23</v>
      </c>
      <c r="W25" s="71"/>
      <c r="Y25" t="str">
        <f>LEFT(Code!J2,50)</f>
        <v>Contractor and Subcontractor Payments</v>
      </c>
    </row>
    <row r="26" spans="1:25" s="206" customFormat="1"/>
    <row r="27" spans="1:25">
      <c r="A27" t="s">
        <v>25</v>
      </c>
      <c r="B27" t="s">
        <v>47</v>
      </c>
      <c r="C27" t="s">
        <v>48</v>
      </c>
      <c r="D27" t="s">
        <v>49</v>
      </c>
      <c r="E27" t="s">
        <v>50</v>
      </c>
      <c r="F27" t="s">
        <v>51</v>
      </c>
      <c r="G27" t="s">
        <v>52</v>
      </c>
      <c r="H27" t="s">
        <v>53</v>
      </c>
      <c r="I27" t="s">
        <v>54</v>
      </c>
      <c r="J27" t="s">
        <v>55</v>
      </c>
      <c r="K27" t="s">
        <v>56</v>
      </c>
      <c r="L27" t="s">
        <v>57</v>
      </c>
      <c r="M27" t="s">
        <v>58</v>
      </c>
      <c r="N27" t="s">
        <v>59</v>
      </c>
      <c r="O27" t="s">
        <v>60</v>
      </c>
      <c r="P27" t="s">
        <v>61</v>
      </c>
      <c r="Q27" t="s">
        <v>62</v>
      </c>
      <c r="R27" t="s">
        <v>63</v>
      </c>
      <c r="S27" t="s">
        <v>64</v>
      </c>
      <c r="T27" t="s">
        <v>65</v>
      </c>
      <c r="U27" t="s">
        <v>66</v>
      </c>
      <c r="V27" t="s">
        <v>67</v>
      </c>
      <c r="W27" t="s">
        <v>68</v>
      </c>
      <c r="X27" t="s">
        <v>69</v>
      </c>
      <c r="Y27" t="s">
        <v>70</v>
      </c>
    </row>
    <row r="28" spans="1:25">
      <c r="A28">
        <v>0</v>
      </c>
      <c r="B28" t="str">
        <f>LEFT(Code!V2,40)</f>
        <v>PA House Commerce committee hearing</v>
      </c>
      <c r="C28" t="str">
        <f>LEFT(Code!V3,40)</f>
        <v>PA House Commerce committee hearing</v>
      </c>
      <c r="D28" t="str">
        <f>LEFT(Code!V4,40)</f>
        <v>PA House Health and Judiciary committees</v>
      </c>
      <c r="E28" t="str">
        <f>LEFT(Code!V5,40)</f>
        <v>PA House Health and Judiciary committees</v>
      </c>
      <c r="F28" t="str">
        <f>LEFT(Code!V6,40)</f>
        <v>League of Women Voters of PA-Citizen Edu</v>
      </c>
      <c r="G28" t="str">
        <f>LEFT(Code!V7,40)</f>
        <v>Widener University School of Law forum w</v>
      </c>
      <c r="H28" t="str">
        <f>LEFT(Code!V8,40)</f>
        <v>Pittsburgh</v>
      </c>
      <c r="I28" t="str">
        <f>LEFT(Code!V9,40)</f>
        <v>Pittsburgh</v>
      </c>
      <c r="J28" t="str">
        <f>LEFT(Code!V10,40)</f>
        <v>Harrisburg</v>
      </c>
      <c r="K28" t="str">
        <f>LEFT(Code!V11,40)</f>
        <v/>
      </c>
      <c r="L28" t="str">
        <f>LEFT(Code!V12,40)</f>
        <v/>
      </c>
      <c r="M28" t="str">
        <f>LEFT(Code!V13,40)</f>
        <v/>
      </c>
      <c r="N28" t="str">
        <f>LEFT(Code!V14,40)</f>
        <v/>
      </c>
      <c r="O28" t="str">
        <f>LEFT(Code!V15,40)</f>
        <v/>
      </c>
      <c r="P28" t="str">
        <f>LEFT(Code!V16,40)</f>
        <v/>
      </c>
      <c r="Q28" t="str">
        <f>LEFT(Code!V17,40)</f>
        <v/>
      </c>
      <c r="R28" t="str">
        <f>LEFT(Code!V18,40)</f>
        <v/>
      </c>
      <c r="S28" t="str">
        <f>LEFT(Code!V19,40)</f>
        <v/>
      </c>
      <c r="T28" t="str">
        <f>LEFT(Code!V20,40)</f>
        <v/>
      </c>
      <c r="U28" t="str">
        <f>LEFT(Code!V21,40)</f>
        <v/>
      </c>
      <c r="V28" t="str">
        <f>LEFT(Code!V22,40)</f>
        <v/>
      </c>
      <c r="W28" t="str">
        <f>LEFT(Code!V23,40)</f>
        <v/>
      </c>
      <c r="X28" t="str">
        <f>LEFT(Code!V24,40)</f>
        <v/>
      </c>
      <c r="Y28" t="str">
        <f>LEFT(Code!V25,40)</f>
        <v/>
      </c>
    </row>
    <row r="29" spans="1:25">
      <c r="A29">
        <v>1</v>
      </c>
      <c r="C29" t="str">
        <f>LEFT(Code!V2,40)</f>
        <v>PA House Commerce committee hearing</v>
      </c>
      <c r="D29" t="str">
        <f>LEFT(Code!V3,40)</f>
        <v>PA House Commerce committee hearing</v>
      </c>
      <c r="E29" t="str">
        <f>LEFT(Code!V4,40)</f>
        <v>PA House Health and Judiciary committees</v>
      </c>
      <c r="F29" t="str">
        <f>LEFT(Code!V5,40)</f>
        <v>PA House Health and Judiciary committees</v>
      </c>
      <c r="G29" t="str">
        <f>LEFT(Code!V6,40)</f>
        <v>League of Women Voters of PA-Citizen Edu</v>
      </c>
      <c r="H29" t="str">
        <f>LEFT(Code!V7,40)</f>
        <v>Widener University School of Law forum w</v>
      </c>
      <c r="I29" t="str">
        <f>LEFT(Code!V8,40)</f>
        <v>Pittsburgh</v>
      </c>
      <c r="J29" t="str">
        <f>LEFT(Code!V9,40)</f>
        <v>Pittsburgh</v>
      </c>
      <c r="K29" t="str">
        <f>LEFT(Code!V10,40)</f>
        <v>Harrisburg</v>
      </c>
      <c r="L29" t="str">
        <f>LEFT(Code!V11,40)</f>
        <v/>
      </c>
      <c r="M29" t="str">
        <f>LEFT(Code!V12,40)</f>
        <v/>
      </c>
      <c r="N29" t="str">
        <f>LEFT(Code!V13,40)</f>
        <v/>
      </c>
      <c r="O29" t="str">
        <f>LEFT(Code!V14,40)</f>
        <v/>
      </c>
      <c r="P29" t="str">
        <f>LEFT(Code!V15,40)</f>
        <v/>
      </c>
      <c r="Q29" t="str">
        <f>LEFT(Code!V16,40)</f>
        <v/>
      </c>
      <c r="R29" t="str">
        <f>LEFT(Code!V17,40)</f>
        <v/>
      </c>
      <c r="S29" t="str">
        <f>LEFT(Code!V18,40)</f>
        <v/>
      </c>
      <c r="T29" t="str">
        <f>LEFT(Code!V19,40)</f>
        <v/>
      </c>
      <c r="U29" t="str">
        <f>LEFT(Code!V20,40)</f>
        <v/>
      </c>
      <c r="V29" t="str">
        <f>LEFT(Code!V21,40)</f>
        <v/>
      </c>
      <c r="W29" t="str">
        <f>LEFT(Code!V22,40)</f>
        <v/>
      </c>
      <c r="X29" t="str">
        <f>LEFT(Code!V23,40)</f>
        <v/>
      </c>
      <c r="Y29" t="str">
        <f>LEFT(Code!V24,40)</f>
        <v/>
      </c>
    </row>
    <row r="30" spans="1:25">
      <c r="A30">
        <v>2</v>
      </c>
      <c r="D30" t="str">
        <f>LEFT(Code!V2,40)</f>
        <v>PA House Commerce committee hearing</v>
      </c>
      <c r="E30" t="str">
        <f>LEFT(Code!V3,40)</f>
        <v>PA House Commerce committee hearing</v>
      </c>
      <c r="F30" t="str">
        <f>LEFT(Code!V4,40)</f>
        <v>PA House Health and Judiciary committees</v>
      </c>
      <c r="G30" t="str">
        <f>LEFT(Code!V5,40)</f>
        <v>PA House Health and Judiciary committees</v>
      </c>
      <c r="H30" t="str">
        <f>LEFT(Code!V6,40)</f>
        <v>League of Women Voters of PA-Citizen Edu</v>
      </c>
      <c r="I30" t="str">
        <f>LEFT(Code!V7,40)</f>
        <v>Widener University School of Law forum w</v>
      </c>
      <c r="J30" t="str">
        <f>LEFT(Code!V8,40)</f>
        <v>Pittsburgh</v>
      </c>
      <c r="K30" t="str">
        <f>LEFT(Code!V9,40)</f>
        <v>Pittsburgh</v>
      </c>
      <c r="L30" t="str">
        <f>LEFT(Code!V10,40)</f>
        <v>Harrisburg</v>
      </c>
      <c r="M30" t="str">
        <f>LEFT(Code!V11,40)</f>
        <v/>
      </c>
      <c r="N30" t="str">
        <f>LEFT(Code!V12,40)</f>
        <v/>
      </c>
      <c r="O30" t="str">
        <f>LEFT(Code!V13,40)</f>
        <v/>
      </c>
      <c r="P30" t="str">
        <f>LEFT(Code!V14,40)</f>
        <v/>
      </c>
      <c r="Q30" t="str">
        <f>LEFT(Code!V15,40)</f>
        <v/>
      </c>
      <c r="R30" t="str">
        <f>LEFT(Code!V16,40)</f>
        <v/>
      </c>
      <c r="S30" t="str">
        <f>LEFT(Code!V17,40)</f>
        <v/>
      </c>
      <c r="T30" t="str">
        <f>LEFT(Code!V18,40)</f>
        <v/>
      </c>
      <c r="U30" t="str">
        <f>LEFT(Code!V19,40)</f>
        <v/>
      </c>
      <c r="V30" t="str">
        <f>LEFT(Code!V20,40)</f>
        <v/>
      </c>
      <c r="W30" t="str">
        <f>LEFT(Code!V21,40)</f>
        <v/>
      </c>
      <c r="X30" t="str">
        <f>LEFT(Code!V22,40)</f>
        <v/>
      </c>
      <c r="Y30" t="str">
        <f>LEFT(Code!V23,40)</f>
        <v/>
      </c>
    </row>
    <row r="31" spans="1:25">
      <c r="A31">
        <v>3</v>
      </c>
      <c r="E31" t="str">
        <f>LEFT(Code!V2,40)</f>
        <v>PA House Commerce committee hearing</v>
      </c>
      <c r="F31" t="str">
        <f>LEFT(Code!V3,40)</f>
        <v>PA House Commerce committee hearing</v>
      </c>
      <c r="G31" t="str">
        <f>LEFT(Code!V4,40)</f>
        <v>PA House Health and Judiciary committees</v>
      </c>
      <c r="H31" t="str">
        <f>LEFT(Code!V5,40)</f>
        <v>PA House Health and Judiciary committees</v>
      </c>
      <c r="I31" t="str">
        <f>LEFT(Code!V6,40)</f>
        <v>League of Women Voters of PA-Citizen Edu</v>
      </c>
      <c r="J31" t="str">
        <f>LEFT(Code!V7,40)</f>
        <v>Widener University School of Law forum w</v>
      </c>
      <c r="K31" t="str">
        <f>LEFT(Code!V8,40)</f>
        <v>Pittsburgh</v>
      </c>
      <c r="L31" t="str">
        <f>LEFT(Code!V9,40)</f>
        <v>Pittsburgh</v>
      </c>
      <c r="M31" t="str">
        <f>LEFT(Code!V10,40)</f>
        <v>Harrisburg</v>
      </c>
      <c r="N31" t="str">
        <f>LEFT(Code!V11,40)</f>
        <v/>
      </c>
      <c r="O31" t="str">
        <f>LEFT(Code!V12,40)</f>
        <v/>
      </c>
      <c r="P31" t="str">
        <f>LEFT(Code!V13,40)</f>
        <v/>
      </c>
      <c r="Q31" t="str">
        <f>LEFT(Code!V14,40)</f>
        <v/>
      </c>
      <c r="R31" t="str">
        <f>LEFT(Code!V15,40)</f>
        <v/>
      </c>
      <c r="S31" t="str">
        <f>LEFT(Code!V16,40)</f>
        <v/>
      </c>
      <c r="T31" t="str">
        <f>LEFT(Code!V17,40)</f>
        <v/>
      </c>
      <c r="U31" t="str">
        <f>LEFT(Code!V18,40)</f>
        <v/>
      </c>
      <c r="V31" t="str">
        <f>LEFT(Code!V19,40)</f>
        <v/>
      </c>
      <c r="W31" t="str">
        <f>LEFT(Code!V20,40)</f>
        <v/>
      </c>
      <c r="X31" t="str">
        <f>LEFT(Code!V21,40)</f>
        <v/>
      </c>
      <c r="Y31" t="str">
        <f>LEFT(Code!V22,40)</f>
        <v/>
      </c>
    </row>
    <row r="32" spans="1:25">
      <c r="A32">
        <v>4</v>
      </c>
      <c r="F32" t="str">
        <f>LEFT(Code!V2,40)</f>
        <v>PA House Commerce committee hearing</v>
      </c>
      <c r="G32" t="str">
        <f>LEFT(Code!V3,40)</f>
        <v>PA House Commerce committee hearing</v>
      </c>
      <c r="H32" t="str">
        <f>LEFT(Code!V4,40)</f>
        <v>PA House Health and Judiciary committees</v>
      </c>
      <c r="I32" t="str">
        <f>LEFT(Code!V5,40)</f>
        <v>PA House Health and Judiciary committees</v>
      </c>
      <c r="J32" t="str">
        <f>LEFT(Code!V6,40)</f>
        <v>League of Women Voters of PA-Citizen Edu</v>
      </c>
      <c r="K32" t="str">
        <f>LEFT(Code!V7,40)</f>
        <v>Widener University School of Law forum w</v>
      </c>
      <c r="L32" t="str">
        <f>LEFT(Code!V8,40)</f>
        <v>Pittsburgh</v>
      </c>
      <c r="M32" t="str">
        <f>LEFT(Code!V9,40)</f>
        <v>Pittsburgh</v>
      </c>
      <c r="N32" t="str">
        <f>LEFT(Code!V10,40)</f>
        <v>Harrisburg</v>
      </c>
      <c r="O32" t="str">
        <f>LEFT(Code!V11,40)</f>
        <v/>
      </c>
      <c r="P32" t="str">
        <f>LEFT(Code!V12,40)</f>
        <v/>
      </c>
      <c r="Q32" t="str">
        <f>LEFT(Code!V13,40)</f>
        <v/>
      </c>
      <c r="R32" t="str">
        <f>LEFT(Code!V14,40)</f>
        <v/>
      </c>
      <c r="S32" t="str">
        <f>LEFT(Code!V15,40)</f>
        <v/>
      </c>
      <c r="T32" t="str">
        <f>LEFT(Code!V16,40)</f>
        <v/>
      </c>
      <c r="U32" t="str">
        <f>LEFT(Code!V17,40)</f>
        <v/>
      </c>
      <c r="V32" t="str">
        <f>LEFT(Code!V18,40)</f>
        <v/>
      </c>
      <c r="W32" t="str">
        <f>LEFT(Code!V19,40)</f>
        <v/>
      </c>
      <c r="X32" t="str">
        <f>LEFT(Code!V20,40)</f>
        <v/>
      </c>
      <c r="Y32" t="str">
        <f>LEFT(Code!V21,40)</f>
        <v/>
      </c>
    </row>
    <row r="33" spans="1:25">
      <c r="A33">
        <v>5</v>
      </c>
      <c r="G33" t="str">
        <f>LEFT(Code!V2,40)</f>
        <v>PA House Commerce committee hearing</v>
      </c>
      <c r="H33" t="str">
        <f>LEFT(Code!V3,40)</f>
        <v>PA House Commerce committee hearing</v>
      </c>
      <c r="I33" t="str">
        <f>LEFT(Code!V4,40)</f>
        <v>PA House Health and Judiciary committees</v>
      </c>
      <c r="J33" t="str">
        <f>LEFT(Code!V5,40)</f>
        <v>PA House Health and Judiciary committees</v>
      </c>
      <c r="K33" t="str">
        <f>LEFT(Code!V6,40)</f>
        <v>League of Women Voters of PA-Citizen Edu</v>
      </c>
      <c r="L33" t="str">
        <f>LEFT(Code!V7,40)</f>
        <v>Widener University School of Law forum w</v>
      </c>
      <c r="M33" t="str">
        <f>LEFT(Code!V8,40)</f>
        <v>Pittsburgh</v>
      </c>
      <c r="N33" t="str">
        <f>LEFT(Code!V9,40)</f>
        <v>Pittsburgh</v>
      </c>
      <c r="O33" t="str">
        <f>LEFT(Code!V10,40)</f>
        <v>Harrisburg</v>
      </c>
      <c r="P33" t="str">
        <f>LEFT(Code!V11,40)</f>
        <v/>
      </c>
      <c r="Q33" t="str">
        <f>LEFT(Code!V12,40)</f>
        <v/>
      </c>
      <c r="R33" t="str">
        <f>LEFT(Code!V13,40)</f>
        <v/>
      </c>
      <c r="S33" t="str">
        <f>LEFT(Code!V14,40)</f>
        <v/>
      </c>
      <c r="T33" t="str">
        <f>LEFT(Code!V15,40)</f>
        <v/>
      </c>
      <c r="U33" t="str">
        <f>LEFT(Code!V16,40)</f>
        <v/>
      </c>
      <c r="V33" t="str">
        <f>LEFT(Code!V17,40)</f>
        <v/>
      </c>
      <c r="W33" t="str">
        <f>LEFT(Code!V18,40)</f>
        <v/>
      </c>
      <c r="X33" t="str">
        <f>LEFT(Code!V19,40)</f>
        <v/>
      </c>
      <c r="Y33" t="str">
        <f>LEFT(Code!V20,40)</f>
        <v/>
      </c>
    </row>
    <row r="34" spans="1:25">
      <c r="A34">
        <v>6</v>
      </c>
      <c r="H34" t="str">
        <f>LEFT(Code!V2,40)</f>
        <v>PA House Commerce committee hearing</v>
      </c>
      <c r="I34" t="str">
        <f>LEFT(Code!V3,40)</f>
        <v>PA House Commerce committee hearing</v>
      </c>
      <c r="J34" t="str">
        <f>LEFT(Code!V4,40)</f>
        <v>PA House Health and Judiciary committees</v>
      </c>
      <c r="K34" t="str">
        <f>LEFT(Code!V5,40)</f>
        <v>PA House Health and Judiciary committees</v>
      </c>
      <c r="L34" t="str">
        <f>LEFT(Code!V6,40)</f>
        <v>League of Women Voters of PA-Citizen Edu</v>
      </c>
      <c r="M34" t="str">
        <f>LEFT(Code!V7,40)</f>
        <v>Widener University School of Law forum w</v>
      </c>
      <c r="N34" t="str">
        <f>LEFT(Code!V8,40)</f>
        <v>Pittsburgh</v>
      </c>
      <c r="O34" t="str">
        <f>LEFT(Code!V9,40)</f>
        <v>Pittsburgh</v>
      </c>
      <c r="P34" t="str">
        <f>LEFT(Code!V10,40)</f>
        <v>Harrisburg</v>
      </c>
      <c r="Q34" t="str">
        <f>LEFT(Code!V11,40)</f>
        <v/>
      </c>
      <c r="R34" t="str">
        <f>LEFT(Code!V12,40)</f>
        <v/>
      </c>
      <c r="S34" t="str">
        <f>LEFT(Code!V13,40)</f>
        <v/>
      </c>
      <c r="T34" t="str">
        <f>LEFT(Code!V14,40)</f>
        <v/>
      </c>
      <c r="U34" t="str">
        <f>LEFT(Code!V15,40)</f>
        <v/>
      </c>
      <c r="V34" t="str">
        <f>LEFT(Code!V16,40)</f>
        <v/>
      </c>
      <c r="W34" t="str">
        <f>LEFT(Code!V17,40)</f>
        <v/>
      </c>
      <c r="X34" t="str">
        <f>LEFT(Code!V18,40)</f>
        <v/>
      </c>
      <c r="Y34" t="str">
        <f>LEFT(Code!V19,40)</f>
        <v/>
      </c>
    </row>
    <row r="35" spans="1:25">
      <c r="A35">
        <v>7</v>
      </c>
      <c r="I35" t="str">
        <f>LEFT(Code!V2,40)</f>
        <v>PA House Commerce committee hearing</v>
      </c>
      <c r="J35" t="str">
        <f>LEFT(Code!V3,40)</f>
        <v>PA House Commerce committee hearing</v>
      </c>
      <c r="K35" t="str">
        <f>LEFT(Code!V4,40)</f>
        <v>PA House Health and Judiciary committees</v>
      </c>
      <c r="L35" t="str">
        <f>LEFT(Code!V5,40)</f>
        <v>PA House Health and Judiciary committees</v>
      </c>
      <c r="M35" t="str">
        <f>LEFT(Code!V6,40)</f>
        <v>League of Women Voters of PA-Citizen Edu</v>
      </c>
      <c r="N35" t="str">
        <f>LEFT(Code!V7,40)</f>
        <v>Widener University School of Law forum w</v>
      </c>
      <c r="O35" t="str">
        <f>LEFT(Code!V8,40)</f>
        <v>Pittsburgh</v>
      </c>
      <c r="P35" t="str">
        <f>LEFT(Code!V9,40)</f>
        <v>Pittsburgh</v>
      </c>
      <c r="Q35" t="str">
        <f>LEFT(Code!V10,40)</f>
        <v>Harrisburg</v>
      </c>
      <c r="R35" t="str">
        <f>LEFT(Code!V11,40)</f>
        <v/>
      </c>
      <c r="S35" t="str">
        <f>LEFT(Code!V12,40)</f>
        <v/>
      </c>
      <c r="T35" t="str">
        <f>LEFT(Code!V13,40)</f>
        <v/>
      </c>
      <c r="U35" t="str">
        <f>LEFT(Code!V14,40)</f>
        <v/>
      </c>
      <c r="V35" t="str">
        <f>LEFT(Code!V15,40)</f>
        <v/>
      </c>
      <c r="W35" t="str">
        <f>LEFT(Code!V16,40)</f>
        <v/>
      </c>
      <c r="X35" t="str">
        <f>LEFT(Code!V17,40)</f>
        <v/>
      </c>
      <c r="Y35" t="str">
        <f>LEFT(Code!V18,40)</f>
        <v/>
      </c>
    </row>
    <row r="36" spans="1:25">
      <c r="A36">
        <v>8</v>
      </c>
      <c r="J36" t="str">
        <f>LEFT(Code!V2,40)</f>
        <v>PA House Commerce committee hearing</v>
      </c>
      <c r="K36" t="str">
        <f>LEFT(Code!V3,40)</f>
        <v>PA House Commerce committee hearing</v>
      </c>
      <c r="L36" t="str">
        <f>LEFT(Code!V4,40)</f>
        <v>PA House Health and Judiciary committees</v>
      </c>
      <c r="M36" t="str">
        <f>LEFT(Code!V5,40)</f>
        <v>PA House Health and Judiciary committees</v>
      </c>
      <c r="N36" t="str">
        <f>LEFT(Code!V6,40)</f>
        <v>League of Women Voters of PA-Citizen Edu</v>
      </c>
      <c r="O36" t="str">
        <f>LEFT(Code!V7,40)</f>
        <v>Widener University School of Law forum w</v>
      </c>
      <c r="P36" t="str">
        <f>LEFT(Code!V8,40)</f>
        <v>Pittsburgh</v>
      </c>
      <c r="Q36" t="str">
        <f>LEFT(Code!V9,40)</f>
        <v>Pittsburgh</v>
      </c>
      <c r="R36" t="str">
        <f>LEFT(Code!V10,40)</f>
        <v>Harrisburg</v>
      </c>
      <c r="S36" t="str">
        <f>LEFT(Code!V11,40)</f>
        <v/>
      </c>
      <c r="T36" t="str">
        <f>LEFT(Code!V12,40)</f>
        <v/>
      </c>
      <c r="U36" t="str">
        <f>LEFT(Code!V13,40)</f>
        <v/>
      </c>
      <c r="V36" t="str">
        <f>LEFT(Code!V14,40)</f>
        <v/>
      </c>
      <c r="W36" t="str">
        <f>LEFT(Code!V15,40)</f>
        <v/>
      </c>
      <c r="X36" t="str">
        <f>LEFT(Code!V16,40)</f>
        <v/>
      </c>
      <c r="Y36" t="str">
        <f>LEFT(Code!V17,40)</f>
        <v/>
      </c>
    </row>
    <row r="37" spans="1:25">
      <c r="A37">
        <v>9</v>
      </c>
      <c r="K37" t="str">
        <f>LEFT(Code!V2,40)</f>
        <v>PA House Commerce committee hearing</v>
      </c>
      <c r="L37" t="str">
        <f>LEFT(Code!V3,40)</f>
        <v>PA House Commerce committee hearing</v>
      </c>
      <c r="M37" t="str">
        <f>LEFT(Code!V4,40)</f>
        <v>PA House Health and Judiciary committees</v>
      </c>
      <c r="N37" t="str">
        <f>LEFT(Code!V5,40)</f>
        <v>PA House Health and Judiciary committees</v>
      </c>
      <c r="O37" t="str">
        <f>LEFT(Code!V6,40)</f>
        <v>League of Women Voters of PA-Citizen Edu</v>
      </c>
      <c r="P37" t="str">
        <f>LEFT(Code!V7,40)</f>
        <v>Widener University School of Law forum w</v>
      </c>
      <c r="Q37" t="str">
        <f>LEFT(Code!V8,40)</f>
        <v>Pittsburgh</v>
      </c>
      <c r="R37" t="str">
        <f>LEFT(Code!V9,40)</f>
        <v>Pittsburgh</v>
      </c>
      <c r="S37" t="str">
        <f>LEFT(Code!V10,40)</f>
        <v>Harrisburg</v>
      </c>
      <c r="T37" t="str">
        <f>LEFT(Code!V11,40)</f>
        <v/>
      </c>
      <c r="U37" t="str">
        <f>LEFT(Code!V12,40)</f>
        <v/>
      </c>
      <c r="V37" t="str">
        <f>LEFT(Code!V13,40)</f>
        <v/>
      </c>
      <c r="W37" t="str">
        <f>LEFT(Code!V14,40)</f>
        <v/>
      </c>
      <c r="X37" t="str">
        <f>LEFT(Code!V15,40)</f>
        <v/>
      </c>
      <c r="Y37" t="str">
        <f>LEFT(Code!V16,40)</f>
        <v/>
      </c>
    </row>
    <row r="38" spans="1:25">
      <c r="A38">
        <v>10</v>
      </c>
      <c r="L38" t="str">
        <f>LEFT(Code!V2,40)</f>
        <v>PA House Commerce committee hearing</v>
      </c>
      <c r="M38" t="str">
        <f>LEFT(Code!V3,40)</f>
        <v>PA House Commerce committee hearing</v>
      </c>
      <c r="N38" t="str">
        <f>LEFT(Code!V4,40)</f>
        <v>PA House Health and Judiciary committees</v>
      </c>
      <c r="O38" t="str">
        <f>LEFT(Code!V5,40)</f>
        <v>PA House Health and Judiciary committees</v>
      </c>
      <c r="P38" t="str">
        <f>LEFT(Code!V6,40)</f>
        <v>League of Women Voters of PA-Citizen Edu</v>
      </c>
      <c r="Q38" t="str">
        <f>LEFT(Code!V7,40)</f>
        <v>Widener University School of Law forum w</v>
      </c>
      <c r="R38" t="str">
        <f>LEFT(Code!V8,40)</f>
        <v>Pittsburgh</v>
      </c>
      <c r="S38" t="str">
        <f>LEFT(Code!V9,40)</f>
        <v>Pittsburgh</v>
      </c>
      <c r="T38" t="str">
        <f>LEFT(Code!V10,40)</f>
        <v>Harrisburg</v>
      </c>
      <c r="U38" t="str">
        <f>LEFT(Code!V11,40)</f>
        <v/>
      </c>
      <c r="V38" t="str">
        <f>LEFT(Code!V12,40)</f>
        <v/>
      </c>
      <c r="W38" t="str">
        <f>LEFT(Code!V13,40)</f>
        <v/>
      </c>
      <c r="X38" t="str">
        <f>LEFT(Code!V14,40)</f>
        <v/>
      </c>
      <c r="Y38" t="str">
        <f>LEFT(Code!V15,40)</f>
        <v/>
      </c>
    </row>
    <row r="39" spans="1:25">
      <c r="A39">
        <v>11</v>
      </c>
      <c r="M39" t="str">
        <f>LEFT(Code!V2,40)</f>
        <v>PA House Commerce committee hearing</v>
      </c>
      <c r="N39" t="str">
        <f>LEFT(Code!V3,40)</f>
        <v>PA House Commerce committee hearing</v>
      </c>
      <c r="O39" t="str">
        <f>LEFT(Code!V4,40)</f>
        <v>PA House Health and Judiciary committees</v>
      </c>
      <c r="P39" t="str">
        <f>LEFT(Code!V5,40)</f>
        <v>PA House Health and Judiciary committees</v>
      </c>
      <c r="Q39" t="str">
        <f>LEFT(Code!V6,40)</f>
        <v>League of Women Voters of PA-Citizen Edu</v>
      </c>
      <c r="R39" t="str">
        <f>LEFT(Code!V7,40)</f>
        <v>Widener University School of Law forum w</v>
      </c>
      <c r="S39" t="str">
        <f>LEFT(Code!V8,40)</f>
        <v>Pittsburgh</v>
      </c>
      <c r="T39" t="str">
        <f>LEFT(Code!V9,40)</f>
        <v>Pittsburgh</v>
      </c>
      <c r="U39" t="str">
        <f>LEFT(Code!V10,40)</f>
        <v>Harrisburg</v>
      </c>
      <c r="V39" t="str">
        <f>LEFT(Code!V11,40)</f>
        <v/>
      </c>
      <c r="W39" t="str">
        <f>LEFT(Code!V12,40)</f>
        <v/>
      </c>
      <c r="X39" t="str">
        <f>LEFT(Code!V13,40)</f>
        <v/>
      </c>
      <c r="Y39" t="str">
        <f>LEFT(Code!V14,40)</f>
        <v/>
      </c>
    </row>
    <row r="40" spans="1:25">
      <c r="A40">
        <v>12</v>
      </c>
      <c r="N40" t="str">
        <f>LEFT(Code!V2,40)</f>
        <v>PA House Commerce committee hearing</v>
      </c>
      <c r="O40" t="str">
        <f>LEFT(Code!V3,40)</f>
        <v>PA House Commerce committee hearing</v>
      </c>
      <c r="P40" t="str">
        <f>LEFT(Code!V4,40)</f>
        <v>PA House Health and Judiciary committees</v>
      </c>
      <c r="Q40" t="str">
        <f>LEFT(Code!V5,40)</f>
        <v>PA House Health and Judiciary committees</v>
      </c>
      <c r="R40" t="str">
        <f>LEFT(Code!V6,40)</f>
        <v>League of Women Voters of PA-Citizen Edu</v>
      </c>
      <c r="S40" t="str">
        <f>LEFT(Code!V7,40)</f>
        <v>Widener University School of Law forum w</v>
      </c>
      <c r="T40" t="str">
        <f>LEFT(Code!V8,40)</f>
        <v>Pittsburgh</v>
      </c>
      <c r="U40" t="str">
        <f>LEFT(Code!V9,40)</f>
        <v>Pittsburgh</v>
      </c>
      <c r="V40" t="str">
        <f>LEFT(Code!V10,40)</f>
        <v>Harrisburg</v>
      </c>
      <c r="W40" t="str">
        <f>LEFT(Code!V11,40)</f>
        <v/>
      </c>
      <c r="X40" t="str">
        <f>LEFT(Code!V12,40)</f>
        <v/>
      </c>
      <c r="Y40" t="str">
        <f>LEFT(Code!V13,40)</f>
        <v/>
      </c>
    </row>
    <row r="41" spans="1:25">
      <c r="A41">
        <v>13</v>
      </c>
      <c r="O41" t="str">
        <f>LEFT(Code!V2,40)</f>
        <v>PA House Commerce committee hearing</v>
      </c>
      <c r="P41" t="str">
        <f>LEFT(Code!V3,40)</f>
        <v>PA House Commerce committee hearing</v>
      </c>
      <c r="Q41" t="str">
        <f>LEFT(Code!V4,40)</f>
        <v>PA House Health and Judiciary committees</v>
      </c>
      <c r="R41" t="str">
        <f>LEFT(Code!V5,40)</f>
        <v>PA House Health and Judiciary committees</v>
      </c>
      <c r="S41" t="str">
        <f>LEFT(Code!V6,40)</f>
        <v>League of Women Voters of PA-Citizen Edu</v>
      </c>
      <c r="T41" t="str">
        <f>LEFT(Code!V7,40)</f>
        <v>Widener University School of Law forum w</v>
      </c>
      <c r="U41" t="str">
        <f>LEFT(Code!V8,40)</f>
        <v>Pittsburgh</v>
      </c>
      <c r="V41" t="str">
        <f>LEFT(Code!V9,40)</f>
        <v>Pittsburgh</v>
      </c>
      <c r="W41" t="str">
        <f>LEFT(Code!V10,40)</f>
        <v>Harrisburg</v>
      </c>
      <c r="X41" t="str">
        <f>LEFT(Code!V11,40)</f>
        <v/>
      </c>
      <c r="Y41" t="str">
        <f>LEFT(Code!V12,40)</f>
        <v/>
      </c>
    </row>
    <row r="42" spans="1:25">
      <c r="A42">
        <v>14</v>
      </c>
      <c r="P42" t="str">
        <f>LEFT(Code!V2,40)</f>
        <v>PA House Commerce committee hearing</v>
      </c>
      <c r="Q42" t="str">
        <f>LEFT(Code!V3,40)</f>
        <v>PA House Commerce committee hearing</v>
      </c>
      <c r="R42" t="str">
        <f>LEFT(Code!V4,40)</f>
        <v>PA House Health and Judiciary committees</v>
      </c>
      <c r="S42" t="str">
        <f>LEFT(Code!V5,40)</f>
        <v>PA House Health and Judiciary committees</v>
      </c>
      <c r="T42" t="str">
        <f>LEFT(Code!V6,40)</f>
        <v>League of Women Voters of PA-Citizen Edu</v>
      </c>
      <c r="U42" t="str">
        <f>LEFT(Code!V7,40)</f>
        <v>Widener University School of Law forum w</v>
      </c>
      <c r="V42" t="str">
        <f>LEFT(Code!V8,40)</f>
        <v>Pittsburgh</v>
      </c>
      <c r="W42" t="str">
        <f>LEFT(Code!V9,40)</f>
        <v>Pittsburgh</v>
      </c>
      <c r="X42" t="str">
        <f>LEFT(Code!V10,40)</f>
        <v>Harrisburg</v>
      </c>
      <c r="Y42" t="str">
        <f>LEFT(Code!V11,40)</f>
        <v/>
      </c>
    </row>
    <row r="43" spans="1:25">
      <c r="A43">
        <v>15</v>
      </c>
      <c r="Q43" t="str">
        <f>LEFT(Code!V2,40)</f>
        <v>PA House Commerce committee hearing</v>
      </c>
      <c r="R43" t="str">
        <f>LEFT(Code!V3,40)</f>
        <v>PA House Commerce committee hearing</v>
      </c>
      <c r="S43" t="str">
        <f>LEFT(Code!V4,40)</f>
        <v>PA House Health and Judiciary committees</v>
      </c>
      <c r="T43" t="str">
        <f>LEFT(Code!V5,40)</f>
        <v>PA House Health and Judiciary committees</v>
      </c>
      <c r="U43" t="str">
        <f>LEFT(Code!V6,40)</f>
        <v>League of Women Voters of PA-Citizen Edu</v>
      </c>
      <c r="V43" t="str">
        <f>LEFT(Code!V7,40)</f>
        <v>Widener University School of Law forum w</v>
      </c>
      <c r="W43" t="str">
        <f>LEFT(Code!V8,40)</f>
        <v>Pittsburgh</v>
      </c>
      <c r="X43" t="str">
        <f>LEFT(Code!V9,40)</f>
        <v>Pittsburgh</v>
      </c>
      <c r="Y43" t="str">
        <f>LEFT(Code!V10,40)</f>
        <v>Harrisburg</v>
      </c>
    </row>
    <row r="44" spans="1:25">
      <c r="A44">
        <v>16</v>
      </c>
      <c r="R44" t="str">
        <f>LEFT(Code!V2,40)</f>
        <v>PA House Commerce committee hearing</v>
      </c>
      <c r="S44" t="str">
        <f>LEFT(Code!V3,40)</f>
        <v>PA House Commerce committee hearing</v>
      </c>
      <c r="T44" t="str">
        <f>LEFT(Code!V4,40)</f>
        <v>PA House Health and Judiciary committees</v>
      </c>
      <c r="U44" t="str">
        <f>LEFT(Code!V5,40)</f>
        <v>PA House Health and Judiciary committees</v>
      </c>
      <c r="V44" t="str">
        <f>LEFT(Code!V6,40)</f>
        <v>League of Women Voters of PA-Citizen Edu</v>
      </c>
      <c r="W44" t="str">
        <f>LEFT(Code!V7,40)</f>
        <v>Widener University School of Law forum w</v>
      </c>
      <c r="X44" t="str">
        <f>LEFT(Code!V8,40)</f>
        <v>Pittsburgh</v>
      </c>
    </row>
    <row r="45" spans="1:25">
      <c r="A45">
        <v>17</v>
      </c>
      <c r="S45" t="str">
        <f>LEFT(Code!V2,40)</f>
        <v>PA House Commerce committee hearing</v>
      </c>
      <c r="T45" t="str">
        <f>LEFT(Code!V3,40)</f>
        <v>PA House Commerce committee hearing</v>
      </c>
      <c r="U45" t="str">
        <f>LEFT(Code!V4,40)</f>
        <v>PA House Health and Judiciary committees</v>
      </c>
      <c r="V45" t="str">
        <f>LEFT(Code!V5,40)</f>
        <v>PA House Health and Judiciary committees</v>
      </c>
      <c r="W45" t="str">
        <f>LEFT(Code!V6,40)</f>
        <v>League of Women Voters of PA-Citizen Edu</v>
      </c>
      <c r="X45" t="str">
        <f>LEFT(Code!V7,40)</f>
        <v>Widener University School of Law forum w</v>
      </c>
      <c r="Y45" t="str">
        <f>LEFT(Code!V8,40)</f>
        <v>Pittsburgh</v>
      </c>
    </row>
    <row r="46" spans="1:25">
      <c r="A46">
        <v>18</v>
      </c>
      <c r="T46" t="str">
        <f>LEFT(Code!V2,40)</f>
        <v>PA House Commerce committee hearing</v>
      </c>
      <c r="U46" t="str">
        <f>LEFT(Code!V3,40)</f>
        <v>PA House Commerce committee hearing</v>
      </c>
      <c r="V46" t="str">
        <f>LEFT(Code!V4,40)</f>
        <v>PA House Health and Judiciary committees</v>
      </c>
      <c r="W46" t="str">
        <f>LEFT(Code!V5,40)</f>
        <v>PA House Health and Judiciary committees</v>
      </c>
      <c r="X46" t="str">
        <f>LEFT(Code!V6,40)</f>
        <v>League of Women Voters of PA-Citizen Edu</v>
      </c>
      <c r="Y46" t="str">
        <f>LEFT(Code!V7,40)</f>
        <v>Widener University School of Law forum w</v>
      </c>
    </row>
    <row r="47" spans="1:25">
      <c r="A47">
        <v>19</v>
      </c>
      <c r="U47" t="str">
        <f>LEFT(Code!V2,40)</f>
        <v>PA House Commerce committee hearing</v>
      </c>
      <c r="V47" t="str">
        <f>LEFT(Code!V3,40)</f>
        <v>PA House Commerce committee hearing</v>
      </c>
      <c r="W47" t="str">
        <f>LEFT(Code!V4,40)</f>
        <v>PA House Health and Judiciary committees</v>
      </c>
      <c r="X47" t="str">
        <f>LEFT(Code!V5,40)</f>
        <v>PA House Health and Judiciary committees</v>
      </c>
      <c r="Y47" t="str">
        <f>LEFT(Code!V6,40)</f>
        <v>League of Women Voters of PA-Citizen Edu</v>
      </c>
    </row>
    <row r="48" spans="1:25">
      <c r="A48">
        <v>20</v>
      </c>
      <c r="V48" t="str">
        <f>LEFT(Code!V2,40)</f>
        <v>PA House Commerce committee hearing</v>
      </c>
      <c r="W48" t="str">
        <f>LEFT(Code!V3,40)</f>
        <v>PA House Commerce committee hearing</v>
      </c>
      <c r="X48" t="str">
        <f>LEFT(Code!V4,40)</f>
        <v>PA House Health and Judiciary committees</v>
      </c>
      <c r="Y48" t="str">
        <f>LEFT(Code!V5,40)</f>
        <v>PA House Health and Judiciary committees</v>
      </c>
    </row>
    <row r="49" spans="1:25">
      <c r="A49">
        <v>21</v>
      </c>
      <c r="W49" t="str">
        <f>LEFT(Code!V2,40)</f>
        <v>PA House Commerce committee hearing</v>
      </c>
      <c r="X49" t="str">
        <f>LEFT(Code!V3,40)</f>
        <v>PA House Commerce committee hearing</v>
      </c>
      <c r="Y49" t="str">
        <f>LEFT(Code!V4,40)</f>
        <v>PA House Health and Judiciary committees</v>
      </c>
    </row>
    <row r="50" spans="1:25">
      <c r="A50">
        <v>22</v>
      </c>
      <c r="X50" t="str">
        <f>LEFT(Code!V2,40)</f>
        <v>PA House Commerce committee hearing</v>
      </c>
      <c r="Y50" t="str">
        <f>LEFT(Code!V3,40)</f>
        <v>PA House Commerce committee hearing</v>
      </c>
    </row>
    <row r="51" spans="1:25">
      <c r="A51">
        <v>23</v>
      </c>
      <c r="Y51" t="str">
        <f>LEFT(Code!V2,40)</f>
        <v>PA House Commerce committee hearing</v>
      </c>
    </row>
    <row r="52" spans="1:25" s="206" customFormat="1"/>
    <row r="53" spans="1:25">
      <c r="A53" t="s">
        <v>36</v>
      </c>
      <c r="B53" t="s">
        <v>47</v>
      </c>
      <c r="C53" t="s">
        <v>48</v>
      </c>
      <c r="D53" t="s">
        <v>49</v>
      </c>
      <c r="E53" t="s">
        <v>50</v>
      </c>
      <c r="F53" t="s">
        <v>51</v>
      </c>
      <c r="G53" t="s">
        <v>52</v>
      </c>
      <c r="H53" t="s">
        <v>53</v>
      </c>
      <c r="I53" t="s">
        <v>54</v>
      </c>
      <c r="J53" t="s">
        <v>55</v>
      </c>
      <c r="K53" t="s">
        <v>56</v>
      </c>
      <c r="L53" t="s">
        <v>57</v>
      </c>
      <c r="M53" t="s">
        <v>58</v>
      </c>
      <c r="N53" t="s">
        <v>59</v>
      </c>
      <c r="O53" t="s">
        <v>60</v>
      </c>
      <c r="P53" t="s">
        <v>61</v>
      </c>
      <c r="Q53" t="s">
        <v>62</v>
      </c>
      <c r="R53" t="s">
        <v>63</v>
      </c>
      <c r="S53" t="s">
        <v>64</v>
      </c>
      <c r="T53" t="s">
        <v>65</v>
      </c>
      <c r="U53" t="s">
        <v>66</v>
      </c>
      <c r="V53" t="s">
        <v>67</v>
      </c>
      <c r="W53" t="s">
        <v>68</v>
      </c>
      <c r="X53" t="s">
        <v>69</v>
      </c>
      <c r="Y53" t="s">
        <v>70</v>
      </c>
    </row>
    <row r="54" spans="1:25">
      <c r="A54">
        <v>0</v>
      </c>
      <c r="B54" t="str">
        <f>IF(Sheet2!R2=FALSE,"AD","CLEAN")</f>
        <v>CLEAN</v>
      </c>
      <c r="C54" t="str">
        <f>IF(Sheet2!R3=FALSE,"AD","CLEAN")</f>
        <v>AD</v>
      </c>
      <c r="D54" t="str">
        <f>IF(Sheet2!R4=FALSE,"AD","CLEAN")</f>
        <v>CLEAN</v>
      </c>
      <c r="E54" t="str">
        <f>IF(Sheet2!R5=FALSE,"AD","CLEAN")</f>
        <v>AD</v>
      </c>
      <c r="F54" t="str">
        <f>IF(Sheet2!R6=FALSE,"AD","CLEAN")</f>
        <v>AD</v>
      </c>
      <c r="G54" t="str">
        <f>IF(Sheet2!R7=FALSE,"AD","CLEAN")</f>
        <v>AD</v>
      </c>
      <c r="H54" t="str">
        <f>IF(Sheet2!R8=FALSE,"AD","CLEAN")</f>
        <v>CLEAN</v>
      </c>
      <c r="I54" t="str">
        <f>IF(Sheet2!R9=FALSE,"AD","CLEAN")</f>
        <v>CLEAN</v>
      </c>
      <c r="J54" t="str">
        <f>IF(Sheet2!R10=FALSE,"AD","CLEAN")</f>
        <v>CLEAN</v>
      </c>
      <c r="K54" t="str">
        <f>IF(Sheet2!R11=FALSE,"AD","CLEAN")</f>
        <v>AD</v>
      </c>
      <c r="L54" t="str">
        <f>IF(Sheet2!R12=FALSE,"AD","CLEAN")</f>
        <v>AD</v>
      </c>
      <c r="M54" t="str">
        <f>IF(Sheet2!R13=FALSE,"AD","CLEAN")</f>
        <v>AD</v>
      </c>
      <c r="N54" t="str">
        <f>IF(Sheet2!R14=FALSE,"AD","CLEAN")</f>
        <v>AD</v>
      </c>
      <c r="O54" t="str">
        <f>IF(Sheet2!R15=FALSE,"AD","CLEAN")</f>
        <v>AD</v>
      </c>
      <c r="P54" t="str">
        <f>IF(Sheet2!R16=FALSE,"AD","CLEAN")</f>
        <v>AD</v>
      </c>
      <c r="Q54" t="str">
        <f>IF(Sheet2!R17=FALSE,"AD","CLEAN")</f>
        <v>AD</v>
      </c>
      <c r="R54" t="str">
        <f>IF(Sheet2!R18=FALSE,"AD","CLEAN")</f>
        <v>AD</v>
      </c>
      <c r="S54" t="str">
        <f>IF(Sheet2!R19=FALSE,"AD","CLEAN")</f>
        <v>AD</v>
      </c>
      <c r="T54" t="str">
        <f>IF(Sheet2!R20=FALSE,"AD","CLEAN")</f>
        <v>AD</v>
      </c>
      <c r="U54" t="str">
        <f>IF(Sheet2!R21=FALSE,"AD","CLEAN")</f>
        <v>AD</v>
      </c>
      <c r="V54" t="str">
        <f>IF(Sheet2!R22=FALSE,"AD","CLEAN")</f>
        <v>AD</v>
      </c>
      <c r="W54" t="str">
        <f>IF(Sheet2!R23=FALSE,"AD","CLEAN")</f>
        <v>AD</v>
      </c>
      <c r="X54" t="str">
        <f>IF(Sheet2!R24=FALSE,"AD","CLEAN")</f>
        <v>AD</v>
      </c>
      <c r="Y54" t="str">
        <f>IF(Sheet2!R25=FALSE,"AD","CLEAN")</f>
        <v>AD</v>
      </c>
    </row>
    <row r="55" spans="1:25">
      <c r="A55">
        <v>1</v>
      </c>
      <c r="C55" t="str">
        <f>IF(Sheet2!R2=FALSE,"AD","CLEAN")</f>
        <v>CLEAN</v>
      </c>
      <c r="D55" t="str">
        <f>IF(Sheet2!R3=FALSE,"AD","CLEAN")</f>
        <v>AD</v>
      </c>
      <c r="E55" t="str">
        <f>IF(Sheet2!R4=FALSE,"AD","CLEAN")</f>
        <v>CLEAN</v>
      </c>
      <c r="F55" t="str">
        <f>IF(Sheet2!R5=FALSE,"AD","CLEAN")</f>
        <v>AD</v>
      </c>
      <c r="G55" t="str">
        <f>IF(Sheet2!R6=FALSE,"AD","CLEAN")</f>
        <v>AD</v>
      </c>
      <c r="H55" t="str">
        <f>IF(Sheet2!R7=FALSE,"AD","CLEAN")</f>
        <v>AD</v>
      </c>
      <c r="I55" t="str">
        <f>IF(Sheet2!R8=FALSE,"AD","CLEAN")</f>
        <v>CLEAN</v>
      </c>
      <c r="J55" t="str">
        <f>IF(Sheet2!R9=FALSE,"AD","CLEAN")</f>
        <v>CLEAN</v>
      </c>
      <c r="K55" t="str">
        <f>IF(Sheet2!R10=FALSE,"AD","CLEAN")</f>
        <v>CLEAN</v>
      </c>
      <c r="L55" t="str">
        <f>IF(Sheet2!R11=FALSE,"AD","CLEAN")</f>
        <v>AD</v>
      </c>
      <c r="M55" t="str">
        <f>IF(Sheet2!R12=FALSE,"AD","CLEAN")</f>
        <v>AD</v>
      </c>
      <c r="N55" t="str">
        <f>IF(Sheet2!R13=FALSE,"AD","CLEAN")</f>
        <v>AD</v>
      </c>
      <c r="O55" t="str">
        <f>IF(Sheet2!R14=FALSE,"AD","CLEAN")</f>
        <v>AD</v>
      </c>
      <c r="P55" t="str">
        <f>IF(Sheet2!R15=FALSE,"AD","CLEAN")</f>
        <v>AD</v>
      </c>
      <c r="Q55" t="str">
        <f>IF(Sheet2!R16=FALSE,"AD","CLEAN")</f>
        <v>AD</v>
      </c>
      <c r="R55" t="str">
        <f>IF(Sheet2!R17=FALSE,"AD","CLEAN")</f>
        <v>AD</v>
      </c>
      <c r="S55" t="str">
        <f>IF(Sheet2!R18=FALSE,"AD","CLEAN")</f>
        <v>AD</v>
      </c>
      <c r="T55" t="str">
        <f>IF(Sheet2!R19=FALSE,"AD","CLEAN")</f>
        <v>AD</v>
      </c>
      <c r="U55" t="str">
        <f>IF(Sheet2!R20=FALSE,"AD","CLEAN")</f>
        <v>AD</v>
      </c>
      <c r="V55" t="str">
        <f>IF(Sheet2!R21=FALSE,"AD","CLEAN")</f>
        <v>AD</v>
      </c>
      <c r="W55" t="str">
        <f>IF(Sheet2!R22=FALSE,"AD","CLEAN")</f>
        <v>AD</v>
      </c>
      <c r="X55" t="str">
        <f>IF(Sheet2!R23=FALSE,"AD","CLEAN")</f>
        <v>AD</v>
      </c>
      <c r="Y55" t="str">
        <f>IF(Sheet2!R24=FALSE,"AD","CLEAN")</f>
        <v>AD</v>
      </c>
    </row>
    <row r="56" spans="1:25">
      <c r="A56">
        <v>2</v>
      </c>
      <c r="D56" t="str">
        <f>IF(Sheet2!R2=FALSE,"AD","CLEAN")</f>
        <v>CLEAN</v>
      </c>
      <c r="E56" t="str">
        <f>IF(Sheet2!R3=FALSE,"AD","CLEAN")</f>
        <v>AD</v>
      </c>
      <c r="F56" t="str">
        <f>IF(Sheet2!R4=FALSE,"AD","CLEAN")</f>
        <v>CLEAN</v>
      </c>
      <c r="G56" t="str">
        <f>IF(Sheet2!R5=FALSE,"AD","CLEAN")</f>
        <v>AD</v>
      </c>
      <c r="H56" t="str">
        <f>IF(Sheet2!R6=FALSE,"AD","CLEAN")</f>
        <v>AD</v>
      </c>
      <c r="I56" t="str">
        <f>IF(Sheet2!R7=FALSE,"AD","CLEAN")</f>
        <v>AD</v>
      </c>
      <c r="J56" t="str">
        <f>IF(Sheet2!R8=FALSE,"AD","CLEAN")</f>
        <v>CLEAN</v>
      </c>
      <c r="K56" t="str">
        <f>IF(Sheet2!R9=FALSE,"AD","CLEAN")</f>
        <v>CLEAN</v>
      </c>
      <c r="L56" t="str">
        <f>IF(Sheet2!R10=FALSE,"AD","CLEAN")</f>
        <v>CLEAN</v>
      </c>
      <c r="M56" t="str">
        <f>IF(Sheet2!R11=FALSE,"AD","CLEAN")</f>
        <v>AD</v>
      </c>
      <c r="N56" t="str">
        <f>IF(Sheet2!R12=FALSE,"AD","CLEAN")</f>
        <v>AD</v>
      </c>
      <c r="O56" t="str">
        <f>IF(Sheet2!R13=FALSE,"AD","CLEAN")</f>
        <v>AD</v>
      </c>
      <c r="P56" t="str">
        <f>IF(Sheet2!R14=FALSE,"AD","CLEAN")</f>
        <v>AD</v>
      </c>
      <c r="Q56" t="str">
        <f>IF(Sheet2!R15=FALSE,"AD","CLEAN")</f>
        <v>AD</v>
      </c>
      <c r="R56" t="str">
        <f>IF(Sheet2!R16=FALSE,"AD","CLEAN")</f>
        <v>AD</v>
      </c>
      <c r="S56" t="str">
        <f>IF(Sheet2!R17=FALSE,"AD","CLEAN")</f>
        <v>AD</v>
      </c>
      <c r="T56" t="str">
        <f>IF(Sheet2!R18=FALSE,"AD","CLEAN")</f>
        <v>AD</v>
      </c>
      <c r="U56" t="str">
        <f>IF(Sheet2!R19=FALSE,"AD","CLEAN")</f>
        <v>AD</v>
      </c>
      <c r="V56" t="str">
        <f>IF(Sheet2!R20=FALSE,"AD","CLEAN")</f>
        <v>AD</v>
      </c>
      <c r="W56" t="str">
        <f>IF(Sheet2!R21=FALSE,"AD","CLEAN")</f>
        <v>AD</v>
      </c>
      <c r="X56" t="str">
        <f>IF(Sheet2!R22=FALSE,"AD","CLEAN")</f>
        <v>AD</v>
      </c>
      <c r="Y56" t="str">
        <f>IF(Sheet2!R23=FALSE,"AD","CLEAN")</f>
        <v>AD</v>
      </c>
    </row>
    <row r="57" spans="1:25">
      <c r="A57">
        <v>3</v>
      </c>
      <c r="E57" t="str">
        <f>IF(Sheet2!R2=FALSE,"AD","CLEAN")</f>
        <v>CLEAN</v>
      </c>
      <c r="F57" t="str">
        <f>IF(Sheet2!R3=FALSE,"AD","CLEAN")</f>
        <v>AD</v>
      </c>
      <c r="G57" t="str">
        <f>IF(Sheet2!R4=FALSE,"AD","CLEAN")</f>
        <v>CLEAN</v>
      </c>
      <c r="H57" t="str">
        <f>IF(Sheet2!R5=FALSE,"AD","CLEAN")</f>
        <v>AD</v>
      </c>
      <c r="I57" t="str">
        <f>IF(Sheet2!R6=FALSE,"AD","CLEAN")</f>
        <v>AD</v>
      </c>
      <c r="J57" t="str">
        <f>IF(Sheet2!R7=FALSE,"AD","CLEAN")</f>
        <v>AD</v>
      </c>
      <c r="K57" t="str">
        <f>IF(Sheet2!R8=FALSE,"AD","CLEAN")</f>
        <v>CLEAN</v>
      </c>
      <c r="L57" t="str">
        <f>IF(Sheet2!R9=FALSE,"AD","CLEAN")</f>
        <v>CLEAN</v>
      </c>
      <c r="M57" t="str">
        <f>IF(Sheet2!R10=FALSE,"AD","CLEAN")</f>
        <v>CLEAN</v>
      </c>
      <c r="N57" t="str">
        <f>IF(Sheet2!R11=FALSE,"AD","CLEAN")</f>
        <v>AD</v>
      </c>
      <c r="O57" t="str">
        <f>IF(Sheet2!R12=FALSE,"AD","CLEAN")</f>
        <v>AD</v>
      </c>
      <c r="P57" t="str">
        <f>IF(Sheet2!R13=FALSE,"AD","CLEAN")</f>
        <v>AD</v>
      </c>
      <c r="Q57" t="str">
        <f>IF(Sheet2!R14=FALSE,"AD","CLEAN")</f>
        <v>AD</v>
      </c>
      <c r="R57" t="str">
        <f>IF(Sheet2!R15=FALSE,"AD","CLEAN")</f>
        <v>AD</v>
      </c>
      <c r="S57" t="str">
        <f>IF(Sheet2!R16=FALSE,"AD","CLEAN")</f>
        <v>AD</v>
      </c>
      <c r="T57" t="str">
        <f>IF(Sheet2!R17=FALSE,"AD","CLEAN")</f>
        <v>AD</v>
      </c>
      <c r="U57" t="str">
        <f>IF(Sheet2!R18=FALSE,"AD","CLEAN")</f>
        <v>AD</v>
      </c>
      <c r="V57" t="str">
        <f>IF(Sheet2!R19=FALSE,"AD","CLEAN")</f>
        <v>AD</v>
      </c>
      <c r="W57" t="str">
        <f>IF(Sheet2!R20=FALSE,"AD","CLEAN")</f>
        <v>AD</v>
      </c>
      <c r="X57" t="str">
        <f>IF(Sheet2!R21=FALSE,"AD","CLEAN")</f>
        <v>AD</v>
      </c>
      <c r="Y57" t="str">
        <f>IF(Sheet2!R22=FALSE,"AD","CLEAN")</f>
        <v>AD</v>
      </c>
    </row>
    <row r="58" spans="1:25">
      <c r="A58">
        <v>4</v>
      </c>
      <c r="F58" t="str">
        <f>IF(Sheet2!R2=FALSE,"AD","CLEAN")</f>
        <v>CLEAN</v>
      </c>
      <c r="G58" t="str">
        <f>IF(Sheet2!R3=FALSE,"AD","CLEAN")</f>
        <v>AD</v>
      </c>
      <c r="H58" t="str">
        <f>IF(Sheet2!R4=FALSE,"AD","CLEAN")</f>
        <v>CLEAN</v>
      </c>
      <c r="I58" t="str">
        <f>IF(Sheet2!R5=FALSE,"AD","CLEAN")</f>
        <v>AD</v>
      </c>
      <c r="J58" t="str">
        <f>IF(Sheet2!R6=FALSE,"AD","CLEAN")</f>
        <v>AD</v>
      </c>
      <c r="K58" t="str">
        <f>IF(Sheet2!R7=FALSE,"AD","CLEAN")</f>
        <v>AD</v>
      </c>
      <c r="L58" t="str">
        <f>IF(Sheet2!R8=FALSE,"AD","CLEAN")</f>
        <v>CLEAN</v>
      </c>
      <c r="M58" t="str">
        <f>IF(Sheet2!R9=FALSE,"AD","CLEAN")</f>
        <v>CLEAN</v>
      </c>
      <c r="N58" t="str">
        <f>IF(Sheet2!R10=FALSE,"AD","CLEAN")</f>
        <v>CLEAN</v>
      </c>
      <c r="O58" t="str">
        <f>IF(Sheet2!R11=FALSE,"AD","CLEAN")</f>
        <v>AD</v>
      </c>
      <c r="P58" t="str">
        <f>IF(Sheet2!R12=FALSE,"AD","CLEAN")</f>
        <v>AD</v>
      </c>
      <c r="Q58" t="str">
        <f>IF(Sheet2!R13=FALSE,"AD","CLEAN")</f>
        <v>AD</v>
      </c>
      <c r="R58" t="str">
        <f>IF(Sheet2!R14=FALSE,"AD","CLEAN")</f>
        <v>AD</v>
      </c>
      <c r="S58" t="str">
        <f>IF(Sheet2!R15=FALSE,"AD","CLEAN")</f>
        <v>AD</v>
      </c>
      <c r="T58" t="str">
        <f>IF(Sheet2!R16=FALSE,"AD","CLEAN")</f>
        <v>AD</v>
      </c>
      <c r="U58" t="str">
        <f>IF(Sheet2!R17=FALSE,"AD","CLEAN")</f>
        <v>AD</v>
      </c>
      <c r="V58" t="str">
        <f>IF(Sheet2!R18=FALSE,"AD","CLEAN")</f>
        <v>AD</v>
      </c>
      <c r="W58" t="str">
        <f>IF(Sheet2!R19=FALSE,"AD","CLEAN")</f>
        <v>AD</v>
      </c>
      <c r="X58" t="str">
        <f>IF(Sheet2!R20=FALSE,"AD","CLEAN")</f>
        <v>AD</v>
      </c>
      <c r="Y58" t="str">
        <f>IF(Sheet2!R21=FALSE,"AD","CLEAN")</f>
        <v>AD</v>
      </c>
    </row>
    <row r="59" spans="1:25">
      <c r="A59">
        <v>5</v>
      </c>
      <c r="G59" t="str">
        <f>IF(Sheet2!R2=FALSE,"AD","CLEAN")</f>
        <v>CLEAN</v>
      </c>
      <c r="H59" t="str">
        <f>IF(Sheet2!R3=FALSE,"AD","CLEAN")</f>
        <v>AD</v>
      </c>
      <c r="I59" t="str">
        <f>IF(Sheet2!R4=FALSE,"AD","CLEAN")</f>
        <v>CLEAN</v>
      </c>
      <c r="J59" t="str">
        <f>IF(Sheet2!R5=FALSE,"AD","CLEAN")</f>
        <v>AD</v>
      </c>
      <c r="K59" t="str">
        <f>IF(Sheet2!R6=FALSE,"AD","CLEAN")</f>
        <v>AD</v>
      </c>
      <c r="L59" t="str">
        <f>IF(Sheet2!R7=FALSE,"AD","CLEAN")</f>
        <v>AD</v>
      </c>
      <c r="M59" t="str">
        <f>IF(Sheet2!R8=FALSE,"AD","CLEAN")</f>
        <v>CLEAN</v>
      </c>
      <c r="N59" t="str">
        <f>IF(Sheet2!R9=FALSE,"AD","CLEAN")</f>
        <v>CLEAN</v>
      </c>
      <c r="O59" t="str">
        <f>IF(Sheet2!R10=FALSE,"AD","CLEAN")</f>
        <v>CLEAN</v>
      </c>
      <c r="P59" t="str">
        <f>IF(Sheet2!R11=FALSE,"AD","CLEAN")</f>
        <v>AD</v>
      </c>
      <c r="Q59" t="str">
        <f>IF(Sheet2!R12=FALSE,"AD","CLEAN")</f>
        <v>AD</v>
      </c>
      <c r="R59" t="str">
        <f>IF(Sheet2!R13=FALSE,"AD","CLEAN")</f>
        <v>AD</v>
      </c>
      <c r="S59" t="str">
        <f>IF(Sheet2!R14=FALSE,"AD","CLEAN")</f>
        <v>AD</v>
      </c>
      <c r="T59" t="str">
        <f>IF(Sheet2!R15=FALSE,"AD","CLEAN")</f>
        <v>AD</v>
      </c>
      <c r="U59" t="str">
        <f>IF(Sheet2!R16=FALSE,"AD","CLEAN")</f>
        <v>AD</v>
      </c>
      <c r="V59" t="str">
        <f>IF(Sheet2!R17=FALSE,"AD","CLEAN")</f>
        <v>AD</v>
      </c>
      <c r="W59" t="str">
        <f>IF(Sheet2!R18=FALSE,"AD","CLEAN")</f>
        <v>AD</v>
      </c>
      <c r="X59" t="str">
        <f>IF(Sheet2!R19=FALSE,"AD","CLEAN")</f>
        <v>AD</v>
      </c>
      <c r="Y59" t="str">
        <f>IF(Sheet2!R20=FALSE,"AD","CLEAN")</f>
        <v>AD</v>
      </c>
    </row>
    <row r="60" spans="1:25">
      <c r="A60">
        <v>6</v>
      </c>
      <c r="H60" t="str">
        <f>IF(Sheet2!R2=FALSE,"AD","CLEAN")</f>
        <v>CLEAN</v>
      </c>
      <c r="I60" t="str">
        <f>IF(Sheet2!R3=FALSE,"AD","CLEAN")</f>
        <v>AD</v>
      </c>
      <c r="J60" t="str">
        <f>IF(Sheet2!R4=FALSE,"AD","CLEAN")</f>
        <v>CLEAN</v>
      </c>
      <c r="K60" t="str">
        <f>IF(Sheet2!R5=FALSE,"AD","CLEAN")</f>
        <v>AD</v>
      </c>
      <c r="L60" t="str">
        <f>IF(Sheet2!R6=FALSE,"AD","CLEAN")</f>
        <v>AD</v>
      </c>
      <c r="M60" t="str">
        <f>IF(Sheet2!R7=FALSE,"AD","CLEAN")</f>
        <v>AD</v>
      </c>
      <c r="N60" t="str">
        <f>IF(Sheet2!R8=FALSE,"AD","CLEAN")</f>
        <v>CLEAN</v>
      </c>
      <c r="O60" t="str">
        <f>IF(Sheet2!R9=FALSE,"AD","CLEAN")</f>
        <v>CLEAN</v>
      </c>
      <c r="P60" t="str">
        <f>IF(Sheet2!R10=FALSE,"AD","CLEAN")</f>
        <v>CLEAN</v>
      </c>
      <c r="Q60" t="str">
        <f>IF(Sheet2!R11=FALSE,"AD","CLEAN")</f>
        <v>AD</v>
      </c>
      <c r="R60" t="str">
        <f>IF(Sheet2!R12=FALSE,"AD","CLEAN")</f>
        <v>AD</v>
      </c>
      <c r="S60" t="str">
        <f>IF(Sheet2!R13=FALSE,"AD","CLEAN")</f>
        <v>AD</v>
      </c>
      <c r="T60" t="str">
        <f>IF(Sheet2!R14=FALSE,"AD","CLEAN")</f>
        <v>AD</v>
      </c>
      <c r="U60" t="str">
        <f>IF(Sheet2!R15=FALSE,"AD","CLEAN")</f>
        <v>AD</v>
      </c>
      <c r="V60" t="str">
        <f>IF(Sheet2!R16=FALSE,"AD","CLEAN")</f>
        <v>AD</v>
      </c>
      <c r="W60" t="str">
        <f>IF(Sheet2!R17=FALSE,"AD","CLEAN")</f>
        <v>AD</v>
      </c>
      <c r="X60" t="str">
        <f>IF(Sheet2!R18=FALSE,"AD","CLEAN")</f>
        <v>AD</v>
      </c>
      <c r="Y60" t="str">
        <f>IF(Sheet2!R19=FALSE,"AD","CLEAN")</f>
        <v>AD</v>
      </c>
    </row>
    <row r="61" spans="1:25">
      <c r="A61">
        <v>7</v>
      </c>
      <c r="I61" t="str">
        <f>IF(Sheet2!R2=FALSE,"AD","CLEAN")</f>
        <v>CLEAN</v>
      </c>
      <c r="J61" t="str">
        <f>IF(Sheet2!R3=FALSE,"AD","CLEAN")</f>
        <v>AD</v>
      </c>
      <c r="K61" t="str">
        <f>IF(Sheet2!R4=FALSE,"AD","CLEAN")</f>
        <v>CLEAN</v>
      </c>
      <c r="L61" t="str">
        <f>IF(Sheet2!R5=FALSE,"AD","CLEAN")</f>
        <v>AD</v>
      </c>
      <c r="M61" t="str">
        <f>IF(Sheet2!R6=FALSE,"AD","CLEAN")</f>
        <v>AD</v>
      </c>
      <c r="N61" t="str">
        <f>IF(Sheet2!R7=FALSE,"AD","CLEAN")</f>
        <v>AD</v>
      </c>
      <c r="O61" t="str">
        <f>IF(Sheet2!R8=FALSE,"AD","CLEAN")</f>
        <v>CLEAN</v>
      </c>
      <c r="P61" t="str">
        <f>IF(Sheet2!R9=FALSE,"AD","CLEAN")</f>
        <v>CLEAN</v>
      </c>
      <c r="Q61" t="str">
        <f>IF(Sheet2!R10=FALSE,"AD","CLEAN")</f>
        <v>CLEAN</v>
      </c>
      <c r="R61" t="str">
        <f>IF(Sheet2!R11=FALSE,"AD","CLEAN")</f>
        <v>AD</v>
      </c>
      <c r="S61" t="str">
        <f>IF(Sheet2!R12=FALSE,"AD","CLEAN")</f>
        <v>AD</v>
      </c>
      <c r="T61" t="str">
        <f>IF(Sheet2!R13=FALSE,"AD","CLEAN")</f>
        <v>AD</v>
      </c>
      <c r="U61" t="str">
        <f>IF(Sheet2!R14=FALSE,"AD","CLEAN")</f>
        <v>AD</v>
      </c>
      <c r="V61" t="str">
        <f>IF(Sheet2!R15=FALSE,"AD","CLEAN")</f>
        <v>AD</v>
      </c>
      <c r="W61" t="str">
        <f>IF(Sheet2!R16=FALSE,"AD","CLEAN")</f>
        <v>AD</v>
      </c>
      <c r="X61" t="str">
        <f>IF(Sheet2!R17=FALSE,"AD","CLEAN")</f>
        <v>AD</v>
      </c>
      <c r="Y61" t="str">
        <f>IF(Sheet2!R18=FALSE,"AD","CLEAN")</f>
        <v>AD</v>
      </c>
    </row>
    <row r="62" spans="1:25">
      <c r="A62">
        <v>8</v>
      </c>
      <c r="J62" t="str">
        <f>IF(Sheet2!R2=FALSE,"AD","CLEAN")</f>
        <v>CLEAN</v>
      </c>
      <c r="K62" t="str">
        <f>IF(Sheet2!R3=FALSE,"AD","CLEAN")</f>
        <v>AD</v>
      </c>
      <c r="L62" t="str">
        <f>IF(Sheet2!R4=FALSE,"AD","CLEAN")</f>
        <v>CLEAN</v>
      </c>
      <c r="M62" t="str">
        <f>IF(Sheet2!R5=FALSE,"AD","CLEAN")</f>
        <v>AD</v>
      </c>
      <c r="N62" t="str">
        <f>IF(Sheet2!R6=FALSE,"AD","CLEAN")</f>
        <v>AD</v>
      </c>
      <c r="O62" t="str">
        <f>IF(Sheet2!R7=FALSE,"AD","CLEAN")</f>
        <v>AD</v>
      </c>
      <c r="P62" t="str">
        <f>IF(Sheet2!R8=FALSE,"AD","CLEAN")</f>
        <v>CLEAN</v>
      </c>
      <c r="Q62" t="str">
        <f>IF(Sheet2!R9=FALSE,"AD","CLEAN")</f>
        <v>CLEAN</v>
      </c>
      <c r="R62" t="str">
        <f>IF(Sheet2!R10=FALSE,"AD","CLEAN")</f>
        <v>CLEAN</v>
      </c>
      <c r="S62" t="str">
        <f>IF(Sheet2!R11=FALSE,"AD","CLEAN")</f>
        <v>AD</v>
      </c>
      <c r="T62" t="str">
        <f>IF(Sheet2!R12=FALSE,"AD","CLEAN")</f>
        <v>AD</v>
      </c>
      <c r="U62" t="str">
        <f>IF(Sheet2!R13=FALSE,"AD","CLEAN")</f>
        <v>AD</v>
      </c>
      <c r="V62" t="str">
        <f>IF(Sheet2!R14=FALSE,"AD","CLEAN")</f>
        <v>AD</v>
      </c>
      <c r="W62" t="str">
        <f>IF(Sheet2!R15=FALSE,"AD","CLEAN")</f>
        <v>AD</v>
      </c>
      <c r="X62" t="str">
        <f>IF(Sheet2!R16=FALSE,"AD","CLEAN")</f>
        <v>AD</v>
      </c>
      <c r="Y62" t="str">
        <f>IF(Sheet2!R17=FALSE,"AD","CLEAN")</f>
        <v>AD</v>
      </c>
    </row>
    <row r="63" spans="1:25">
      <c r="A63">
        <v>9</v>
      </c>
      <c r="K63" t="str">
        <f>IF(Sheet2!R2=FALSE,"AD","CLEAN")</f>
        <v>CLEAN</v>
      </c>
      <c r="L63" t="str">
        <f>IF(Sheet2!R3=FALSE,"AD","CLEAN")</f>
        <v>AD</v>
      </c>
      <c r="M63" t="str">
        <f>IF(Sheet2!R4=FALSE,"AD","CLEAN")</f>
        <v>CLEAN</v>
      </c>
      <c r="N63" t="str">
        <f>IF(Sheet2!R5=FALSE,"AD","CLEAN")</f>
        <v>AD</v>
      </c>
      <c r="O63" t="str">
        <f>IF(Sheet2!R6=FALSE,"AD","CLEAN")</f>
        <v>AD</v>
      </c>
      <c r="P63" t="str">
        <f>IF(Sheet2!R7=FALSE,"AD","CLEAN")</f>
        <v>AD</v>
      </c>
      <c r="Q63" t="str">
        <f>IF(Sheet2!R8=FALSE,"AD","CLEAN")</f>
        <v>CLEAN</v>
      </c>
      <c r="R63" t="str">
        <f>IF(Sheet2!R9=FALSE,"AD","CLEAN")</f>
        <v>CLEAN</v>
      </c>
      <c r="S63" t="str">
        <f>IF(Sheet2!R10=FALSE,"AD","CLEAN")</f>
        <v>CLEAN</v>
      </c>
      <c r="T63" t="str">
        <f>IF(Sheet2!R11=FALSE,"AD","CLEAN")</f>
        <v>AD</v>
      </c>
      <c r="U63" t="str">
        <f>IF(Sheet2!R12=FALSE,"AD","CLEAN")</f>
        <v>AD</v>
      </c>
      <c r="V63" t="str">
        <f>IF(Sheet2!R13=FALSE,"AD","CLEAN")</f>
        <v>AD</v>
      </c>
      <c r="W63" t="str">
        <f>IF(Sheet2!R14=FALSE,"AD","CLEAN")</f>
        <v>AD</v>
      </c>
      <c r="X63" t="str">
        <f>IF(Sheet2!R15=FALSE,"AD","CLEAN")</f>
        <v>AD</v>
      </c>
      <c r="Y63" t="str">
        <f>IF(Sheet2!R16=FALSE,"AD","CLEAN")</f>
        <v>AD</v>
      </c>
    </row>
    <row r="64" spans="1:25">
      <c r="A64">
        <v>10</v>
      </c>
      <c r="L64" t="str">
        <f>IF(Sheet2!R2=FALSE,"AD","CLEAN")</f>
        <v>CLEAN</v>
      </c>
      <c r="M64" t="str">
        <f>IF(Sheet2!R3=FALSE,"AD","CLEAN")</f>
        <v>AD</v>
      </c>
      <c r="N64" t="str">
        <f>IF(Sheet2!R4=FALSE,"AD","CLEAN")</f>
        <v>CLEAN</v>
      </c>
      <c r="O64" t="str">
        <f>IF(Sheet2!R5=FALSE,"AD","CLEAN")</f>
        <v>AD</v>
      </c>
      <c r="P64" t="str">
        <f>IF(Sheet2!R6=FALSE,"AD","CLEAN")</f>
        <v>AD</v>
      </c>
      <c r="Q64" t="str">
        <f>IF(Sheet2!R7=FALSE,"AD","CLEAN")</f>
        <v>AD</v>
      </c>
      <c r="R64" t="str">
        <f>IF(Sheet2!R8=FALSE,"AD","CLEAN")</f>
        <v>CLEAN</v>
      </c>
      <c r="S64" t="str">
        <f>IF(Sheet2!R9=FALSE,"AD","CLEAN")</f>
        <v>CLEAN</v>
      </c>
      <c r="T64" t="str">
        <f>IF(Sheet2!R10=FALSE,"AD","CLEAN")</f>
        <v>CLEAN</v>
      </c>
      <c r="U64" t="str">
        <f>IF(Sheet2!R11=FALSE,"AD","CLEAN")</f>
        <v>AD</v>
      </c>
      <c r="V64" t="str">
        <f>IF(Sheet2!R12=FALSE,"AD","CLEAN")</f>
        <v>AD</v>
      </c>
      <c r="W64" t="str">
        <f>IF(Sheet2!R13=FALSE,"AD","CLEAN")</f>
        <v>AD</v>
      </c>
      <c r="X64" t="str">
        <f>IF(Sheet2!R14=FALSE,"AD","CLEAN")</f>
        <v>AD</v>
      </c>
      <c r="Y64" t="str">
        <f>IF(Sheet2!R15=FALSE,"AD","CLEAN")</f>
        <v>AD</v>
      </c>
    </row>
    <row r="65" spans="1:25">
      <c r="A65">
        <v>11</v>
      </c>
      <c r="M65" t="str">
        <f>IF(Sheet2!R2=FALSE,"AD","CLEAN")</f>
        <v>CLEAN</v>
      </c>
      <c r="N65" t="str">
        <f>IF(Sheet2!R3=FALSE,"AD","CLEAN")</f>
        <v>AD</v>
      </c>
      <c r="O65" t="str">
        <f>IF(Sheet2!R4=FALSE,"AD","CLEAN")</f>
        <v>CLEAN</v>
      </c>
      <c r="P65" t="str">
        <f>IF(Sheet2!R5=FALSE,"AD","CLEAN")</f>
        <v>AD</v>
      </c>
      <c r="Q65" t="str">
        <f>IF(Sheet2!R6=FALSE,"AD","CLEAN")</f>
        <v>AD</v>
      </c>
      <c r="R65" t="str">
        <f>IF(Sheet2!R7=FALSE,"AD","CLEAN")</f>
        <v>AD</v>
      </c>
      <c r="S65" t="str">
        <f>IF(Sheet2!R8=FALSE,"AD","CLEAN")</f>
        <v>CLEAN</v>
      </c>
      <c r="T65" t="str">
        <f>IF(Sheet2!R9=FALSE,"AD","CLEAN")</f>
        <v>CLEAN</v>
      </c>
      <c r="U65" t="str">
        <f>IF(Sheet2!R10=FALSE,"AD","CLEAN")</f>
        <v>CLEAN</v>
      </c>
      <c r="V65" t="str">
        <f>IF(Sheet2!R11=FALSE,"AD","CLEAN")</f>
        <v>AD</v>
      </c>
      <c r="W65" t="str">
        <f>IF(Sheet2!R12=FALSE,"AD","CLEAN")</f>
        <v>AD</v>
      </c>
      <c r="X65" t="str">
        <f>IF(Sheet2!R13=FALSE,"AD","CLEAN")</f>
        <v>AD</v>
      </c>
      <c r="Y65" t="str">
        <f>IF(Sheet2!R14=FALSE,"AD","CLEAN")</f>
        <v>AD</v>
      </c>
    </row>
    <row r="66" spans="1:25">
      <c r="A66">
        <v>12</v>
      </c>
      <c r="N66" t="str">
        <f>IF(Sheet2!R2=FALSE,"AD","CLEAN")</f>
        <v>CLEAN</v>
      </c>
      <c r="O66" t="str">
        <f>IF(Sheet2!R3=FALSE,"AD","CLEAN")</f>
        <v>AD</v>
      </c>
      <c r="P66" t="str">
        <f>IF(Sheet2!R4=FALSE,"AD","CLEAN")</f>
        <v>CLEAN</v>
      </c>
      <c r="Q66" t="str">
        <f>IF(Sheet2!R5=FALSE,"AD","CLEAN")</f>
        <v>AD</v>
      </c>
      <c r="R66" t="str">
        <f>IF(Sheet2!R6=FALSE,"AD","CLEAN")</f>
        <v>AD</v>
      </c>
      <c r="S66" t="str">
        <f>IF(Sheet2!R7=FALSE,"AD","CLEAN")</f>
        <v>AD</v>
      </c>
      <c r="T66" t="str">
        <f>IF(Sheet2!R8=FALSE,"AD","CLEAN")</f>
        <v>CLEAN</v>
      </c>
      <c r="U66" t="str">
        <f>IF(Sheet2!R9=FALSE,"AD","CLEAN")</f>
        <v>CLEAN</v>
      </c>
      <c r="V66" t="str">
        <f>IF(Sheet2!R10=FALSE,"AD","CLEAN")</f>
        <v>CLEAN</v>
      </c>
      <c r="W66" t="str">
        <f>IF(Sheet2!R11=FALSE,"AD","CLEAN")</f>
        <v>AD</v>
      </c>
      <c r="X66" t="str">
        <f>IF(Sheet2!R12=FALSE,"AD","CLEAN")</f>
        <v>AD</v>
      </c>
      <c r="Y66" t="str">
        <f>IF(Sheet2!R13=FALSE,"AD","CLEAN")</f>
        <v>AD</v>
      </c>
    </row>
    <row r="67" spans="1:25">
      <c r="A67">
        <v>13</v>
      </c>
      <c r="O67" t="str">
        <f>IF(Sheet2!R2=FALSE,"AD","CLEAN")</f>
        <v>CLEAN</v>
      </c>
      <c r="P67" t="str">
        <f>IF(Sheet2!R3=FALSE,"AD","CLEAN")</f>
        <v>AD</v>
      </c>
      <c r="Q67" t="str">
        <f>IF(Sheet2!R4=FALSE,"AD","CLEAN")</f>
        <v>CLEAN</v>
      </c>
      <c r="R67" t="str">
        <f>IF(Sheet2!R5=FALSE,"AD","CLEAN")</f>
        <v>AD</v>
      </c>
      <c r="S67" t="str">
        <f>IF(Sheet2!R6=FALSE,"AD","CLEAN")</f>
        <v>AD</v>
      </c>
      <c r="T67" t="str">
        <f>IF(Sheet2!R7=FALSE,"AD","CLEAN")</f>
        <v>AD</v>
      </c>
      <c r="U67" t="str">
        <f>IF(Sheet2!R8=FALSE,"AD","CLEAN")</f>
        <v>CLEAN</v>
      </c>
      <c r="V67" t="str">
        <f>IF(Sheet2!R9=FALSE,"AD","CLEAN")</f>
        <v>CLEAN</v>
      </c>
      <c r="W67" t="str">
        <f>IF(Sheet2!R10=FALSE,"AD","CLEAN")</f>
        <v>CLEAN</v>
      </c>
      <c r="X67" t="str">
        <f>IF(Sheet2!R11=FALSE,"AD","CLEAN")</f>
        <v>AD</v>
      </c>
      <c r="Y67" t="str">
        <f>IF(Sheet2!R12=FALSE,"AD","CLEAN")</f>
        <v>AD</v>
      </c>
    </row>
    <row r="68" spans="1:25">
      <c r="A68">
        <v>14</v>
      </c>
      <c r="P68" t="str">
        <f>IF(Sheet2!R2=FALSE,"AD","CLEAN")</f>
        <v>CLEAN</v>
      </c>
      <c r="Q68" t="str">
        <f>IF(Sheet2!R3=FALSE,"AD","CLEAN")</f>
        <v>AD</v>
      </c>
      <c r="R68" t="str">
        <f>IF(Sheet2!R4=FALSE,"AD","CLEAN")</f>
        <v>CLEAN</v>
      </c>
      <c r="S68" t="str">
        <f>IF(Sheet2!R5=FALSE,"AD","CLEAN")</f>
        <v>AD</v>
      </c>
      <c r="T68" t="str">
        <f>IF(Sheet2!R6=FALSE,"AD","CLEAN")</f>
        <v>AD</v>
      </c>
      <c r="U68" t="str">
        <f>IF(Sheet2!R7=FALSE,"AD","CLEAN")</f>
        <v>AD</v>
      </c>
      <c r="V68" t="str">
        <f>IF(Sheet2!R8=FALSE,"AD","CLEAN")</f>
        <v>CLEAN</v>
      </c>
      <c r="W68" t="str">
        <f>IF(Sheet2!R9=FALSE,"AD","CLEAN")</f>
        <v>CLEAN</v>
      </c>
      <c r="X68" t="str">
        <f>IF(Sheet2!R10=FALSE,"AD","CLEAN")</f>
        <v>CLEAN</v>
      </c>
      <c r="Y68" t="str">
        <f>IF(Sheet2!R11=FALSE,"AD","CLEAN")</f>
        <v>AD</v>
      </c>
    </row>
    <row r="69" spans="1:25">
      <c r="A69">
        <v>15</v>
      </c>
      <c r="Q69" t="str">
        <f>IF(Sheet2!R2=FALSE,"AD","CLEAN")</f>
        <v>CLEAN</v>
      </c>
      <c r="R69" t="str">
        <f>IF(Sheet2!R3=FALSE,"AD","CLEAN")</f>
        <v>AD</v>
      </c>
      <c r="S69" t="str">
        <f>IF(Sheet2!R4=FALSE,"AD","CLEAN")</f>
        <v>CLEAN</v>
      </c>
      <c r="T69" t="str">
        <f>IF(Sheet2!R5=FALSE,"AD","CLEAN")</f>
        <v>AD</v>
      </c>
      <c r="U69" t="str">
        <f>IF(Sheet2!R6=FALSE,"AD","CLEAN")</f>
        <v>AD</v>
      </c>
      <c r="V69" t="str">
        <f>IF(Sheet2!R7=FALSE,"AD","CLEAN")</f>
        <v>AD</v>
      </c>
      <c r="W69" t="str">
        <f>IF(Sheet2!R8=FALSE,"AD","CLEAN")</f>
        <v>CLEAN</v>
      </c>
      <c r="X69" t="str">
        <f>IF(Sheet2!R9=FALSE,"AD","CLEAN")</f>
        <v>CLEAN</v>
      </c>
      <c r="Y69" t="str">
        <f>IF(Sheet2!R10=FALSE,"AD","CLEAN")</f>
        <v>CLEAN</v>
      </c>
    </row>
    <row r="70" spans="1:25">
      <c r="A70">
        <v>16</v>
      </c>
      <c r="R70" t="str">
        <f>IF(Sheet2!R2=FALSE,"AD","CLEAN")</f>
        <v>CLEAN</v>
      </c>
      <c r="S70" t="str">
        <f>IF(Sheet2!R3=FALSE,"AD","CLEAN")</f>
        <v>AD</v>
      </c>
      <c r="T70" t="str">
        <f>IF(Sheet2!R4=FALSE,"AD","CLEAN")</f>
        <v>CLEAN</v>
      </c>
      <c r="U70" t="str">
        <f>IF(Sheet2!R5=FALSE,"AD","CLEAN")</f>
        <v>AD</v>
      </c>
      <c r="V70" t="str">
        <f>IF(Sheet2!R6=FALSE,"AD","CLEAN")</f>
        <v>AD</v>
      </c>
      <c r="W70" t="str">
        <f>IF(Sheet2!R7=FALSE,"AD","CLEAN")</f>
        <v>AD</v>
      </c>
      <c r="X70" t="str">
        <f>IF(Sheet2!R8=FALSE,"AD","CLEAN")</f>
        <v>CLEAN</v>
      </c>
      <c r="Y70" t="str">
        <f>IF(Sheet2!R9=FALSE,"AD","CLEAN")</f>
        <v>CLEAN</v>
      </c>
    </row>
    <row r="71" spans="1:25">
      <c r="A71">
        <v>17</v>
      </c>
      <c r="S71" t="str">
        <f>IF(Sheet2!R2=FALSE,"AD","CLEAN")</f>
        <v>CLEAN</v>
      </c>
      <c r="T71" t="str">
        <f>IF(Sheet2!R3=FALSE,"AD","CLEAN")</f>
        <v>AD</v>
      </c>
      <c r="U71" t="str">
        <f>IF(Sheet2!R4=FALSE,"AD","CLEAN")</f>
        <v>CLEAN</v>
      </c>
      <c r="V71" t="str">
        <f>IF(Sheet2!R5=FALSE,"AD","CLEAN")</f>
        <v>AD</v>
      </c>
      <c r="W71" t="str">
        <f>IF(Sheet2!R6=FALSE,"AD","CLEAN")</f>
        <v>AD</v>
      </c>
      <c r="X71" t="str">
        <f>IF(Sheet2!R7=FALSE,"AD","CLEAN")</f>
        <v>AD</v>
      </c>
      <c r="Y71" t="str">
        <f>IF(Sheet2!R8=FALSE,"AD","CLEAN")</f>
        <v>CLEAN</v>
      </c>
    </row>
    <row r="72" spans="1:25">
      <c r="A72">
        <v>18</v>
      </c>
      <c r="T72" t="str">
        <f>IF(Sheet2!R2=FALSE,"AD","CLEAN")</f>
        <v>CLEAN</v>
      </c>
      <c r="U72" t="str">
        <f>IF(Sheet2!R3=FALSE,"AD","CLEAN")</f>
        <v>AD</v>
      </c>
      <c r="V72" t="str">
        <f>IF(Sheet2!R4=FALSE,"AD","CLEAN")</f>
        <v>CLEAN</v>
      </c>
      <c r="W72" t="str">
        <f>IF(Sheet2!R5=FALSE,"AD","CLEAN")</f>
        <v>AD</v>
      </c>
      <c r="X72" t="str">
        <f>IF(Sheet2!R6=FALSE,"AD","CLEAN")</f>
        <v>AD</v>
      </c>
      <c r="Y72" t="str">
        <f>IF(Sheet2!R7=FALSE,"AD","CLEAN")</f>
        <v>AD</v>
      </c>
    </row>
    <row r="73" spans="1:25">
      <c r="A73">
        <v>19</v>
      </c>
      <c r="U73" t="str">
        <f>IF(Sheet2!R2=FALSE,"AD","CLEAN")</f>
        <v>CLEAN</v>
      </c>
      <c r="V73" t="str">
        <f>IF(Sheet2!R3=FALSE,"AD","CLEAN")</f>
        <v>AD</v>
      </c>
      <c r="W73" t="str">
        <f>IF(Sheet2!R4=FALSE,"AD","CLEAN")</f>
        <v>CLEAN</v>
      </c>
      <c r="X73" t="str">
        <f>IF(Sheet2!R5=FALSE,"AD","CLEAN")</f>
        <v>AD</v>
      </c>
      <c r="Y73" t="str">
        <f>IF(Sheet2!R6=FALSE,"AD","CLEAN")</f>
        <v>AD</v>
      </c>
    </row>
    <row r="74" spans="1:25">
      <c r="A74">
        <v>20</v>
      </c>
      <c r="V74" t="str">
        <f>IF(Sheet2!R2=FALSE,"AD","CLEAN")</f>
        <v>CLEAN</v>
      </c>
      <c r="W74" t="str">
        <f>IF(Sheet2!R3=FALSE,"AD","CLEAN")</f>
        <v>AD</v>
      </c>
      <c r="X74" t="str">
        <f>IF(Sheet2!R4=FALSE,"AD","CLEAN")</f>
        <v>CLEAN</v>
      </c>
      <c r="Y74" t="str">
        <f>IF(Sheet2!R5=FALSE,"AD","CLEAN")</f>
        <v>AD</v>
      </c>
    </row>
    <row r="75" spans="1:25">
      <c r="A75">
        <v>21</v>
      </c>
      <c r="W75" t="str">
        <f>IF(Sheet2!R2=FALSE,"AD","CLEAN")</f>
        <v>CLEAN</v>
      </c>
      <c r="X75" t="str">
        <f>IF(Sheet2!R3=FALSE,"AD","CLEAN")</f>
        <v>AD</v>
      </c>
      <c r="Y75" t="str">
        <f>IF(Sheet2!R4=FALSE,"AD","CLEAN")</f>
        <v>CLEAN</v>
      </c>
    </row>
    <row r="76" spans="1:25">
      <c r="A76">
        <v>22</v>
      </c>
      <c r="X76" t="str">
        <f>IF(Sheet2!R2=FALSE,"AD","CLEAN")</f>
        <v>CLEAN</v>
      </c>
      <c r="Y76" t="str">
        <f>IF(Sheet2!R3=FALSE,"AD","CLEAN")</f>
        <v>AD</v>
      </c>
    </row>
    <row r="77" spans="1:25">
      <c r="A77">
        <v>23</v>
      </c>
      <c r="Y77" t="str">
        <f>IF(Sheet2!R2=FALSE,"AD","CLEAN")</f>
        <v>CLEAN</v>
      </c>
    </row>
    <row r="78" spans="1:25" s="206" customFormat="1"/>
    <row r="79" spans="1:25">
      <c r="A79" t="s">
        <v>45</v>
      </c>
      <c r="B79" t="s">
        <v>47</v>
      </c>
      <c r="C79" t="s">
        <v>48</v>
      </c>
      <c r="D79" t="s">
        <v>49</v>
      </c>
      <c r="E79" t="s">
        <v>50</v>
      </c>
      <c r="F79" t="s">
        <v>51</v>
      </c>
      <c r="G79" t="s">
        <v>52</v>
      </c>
      <c r="H79" t="s">
        <v>53</v>
      </c>
      <c r="I79" t="s">
        <v>54</v>
      </c>
      <c r="J79" t="s">
        <v>55</v>
      </c>
      <c r="K79" t="s">
        <v>56</v>
      </c>
      <c r="L79" t="s">
        <v>57</v>
      </c>
      <c r="M79" t="s">
        <v>58</v>
      </c>
      <c r="N79" t="s">
        <v>59</v>
      </c>
      <c r="O79" t="s">
        <v>60</v>
      </c>
      <c r="P79" t="s">
        <v>61</v>
      </c>
      <c r="Q79" t="s">
        <v>62</v>
      </c>
      <c r="R79" t="s">
        <v>63</v>
      </c>
      <c r="S79" t="s">
        <v>64</v>
      </c>
      <c r="T79" t="s">
        <v>65</v>
      </c>
      <c r="U79" t="s">
        <v>66</v>
      </c>
      <c r="V79" t="s">
        <v>67</v>
      </c>
      <c r="W79" t="s">
        <v>68</v>
      </c>
      <c r="X79" t="s">
        <v>69</v>
      </c>
      <c r="Y79" t="s">
        <v>70</v>
      </c>
    </row>
    <row r="80" spans="1:25">
      <c r="A80">
        <v>0</v>
      </c>
      <c r="B80" t="str">
        <f ca="1">Date!V2</f>
        <v>04/07/2015</v>
      </c>
      <c r="C80" t="str">
        <f ca="1">Date!V3</f>
        <v>04/07/2015</v>
      </c>
      <c r="D80" t="str">
        <f ca="1">Date!V4</f>
        <v>04/08/2015</v>
      </c>
      <c r="E80" t="str">
        <f ca="1">Date!V5</f>
        <v>04/08/2015</v>
      </c>
      <c r="F80" t="str">
        <f ca="1">Date!V6</f>
        <v>04/07/2015</v>
      </c>
      <c r="G80" t="str">
        <f ca="1">Date!V7</f>
        <v>04/06/2015</v>
      </c>
      <c r="H80" t="str">
        <f ca="1">Date!V8</f>
        <v>04/07/2015</v>
      </c>
      <c r="I80" t="str">
        <f ca="1">Date!V9</f>
        <v>04/08/2015</v>
      </c>
      <c r="J80" t="str">
        <f ca="1">Date!V10</f>
        <v>04/09/2015</v>
      </c>
      <c r="K80" t="str">
        <f>Date!V11</f>
        <v/>
      </c>
      <c r="L80" t="str">
        <f>Date!V12</f>
        <v/>
      </c>
      <c r="M80" t="str">
        <f>Date!V13</f>
        <v/>
      </c>
      <c r="N80" t="str">
        <f>Date!V14</f>
        <v/>
      </c>
      <c r="O80" t="str">
        <f>Date!V15</f>
        <v/>
      </c>
      <c r="P80" t="str">
        <f>Date!V16</f>
        <v/>
      </c>
      <c r="Q80" t="str">
        <f>Date!V17</f>
        <v/>
      </c>
      <c r="R80" t="str">
        <f>Date!V18</f>
        <v/>
      </c>
      <c r="S80" t="str">
        <f>Date!V19</f>
        <v/>
      </c>
      <c r="T80" t="str">
        <f>Date!V20</f>
        <v/>
      </c>
      <c r="U80" t="str">
        <f>Date!V21</f>
        <v/>
      </c>
      <c r="V80" t="str">
        <f>Date!V22</f>
        <v/>
      </c>
      <c r="W80" t="str">
        <f>Date!V23</f>
        <v/>
      </c>
      <c r="X80" t="str">
        <f>Date!V24</f>
        <v/>
      </c>
      <c r="Y80" t="str">
        <f>Date!V25</f>
        <v/>
      </c>
    </row>
    <row r="81" spans="1:25">
      <c r="A81">
        <v>1</v>
      </c>
      <c r="C81" t="str">
        <f ca="1">Date!V2</f>
        <v>04/07/2015</v>
      </c>
      <c r="D81" t="str">
        <f ca="1">Date!V3</f>
        <v>04/07/2015</v>
      </c>
      <c r="E81" t="str">
        <f ca="1">Date!V4</f>
        <v>04/08/2015</v>
      </c>
      <c r="F81" t="str">
        <f ca="1">Date!V5</f>
        <v>04/08/2015</v>
      </c>
      <c r="G81" t="str">
        <f ca="1">Date!V6</f>
        <v>04/07/2015</v>
      </c>
      <c r="H81" t="str">
        <f ca="1">Date!V7</f>
        <v>04/06/2015</v>
      </c>
      <c r="I81" t="str">
        <f ca="1">Date!V8</f>
        <v>04/07/2015</v>
      </c>
      <c r="J81" t="str">
        <f ca="1">Date!V9</f>
        <v>04/08/2015</v>
      </c>
      <c r="K81" t="str">
        <f ca="1">Date!V10</f>
        <v>04/09/2015</v>
      </c>
      <c r="L81" t="str">
        <f>Date!V11</f>
        <v/>
      </c>
      <c r="M81" t="str">
        <f>Date!V12</f>
        <v/>
      </c>
      <c r="N81" t="str">
        <f>Date!V13</f>
        <v/>
      </c>
      <c r="O81" t="str">
        <f>Date!V14</f>
        <v/>
      </c>
      <c r="P81" t="str">
        <f>Date!V15</f>
        <v/>
      </c>
      <c r="Q81" t="str">
        <f>Date!V16</f>
        <v/>
      </c>
      <c r="R81" t="str">
        <f>Date!V17</f>
        <v/>
      </c>
      <c r="S81" t="str">
        <f>Date!V18</f>
        <v/>
      </c>
      <c r="T81" t="str">
        <f>Date!V19</f>
        <v/>
      </c>
      <c r="U81" t="str">
        <f>Date!V20</f>
        <v/>
      </c>
      <c r="V81" t="str">
        <f>Date!V21</f>
        <v/>
      </c>
      <c r="W81" t="str">
        <f>Date!V22</f>
        <v/>
      </c>
      <c r="X81" t="str">
        <f>Date!V23</f>
        <v/>
      </c>
      <c r="Y81" t="str">
        <f>Date!V24</f>
        <v/>
      </c>
    </row>
    <row r="82" spans="1:25">
      <c r="A82">
        <v>2</v>
      </c>
      <c r="D82" t="str">
        <f ca="1">Date!V2</f>
        <v>04/07/2015</v>
      </c>
      <c r="E82" t="str">
        <f ca="1">Date!V3</f>
        <v>04/07/2015</v>
      </c>
      <c r="F82" t="str">
        <f ca="1">Date!V4</f>
        <v>04/08/2015</v>
      </c>
      <c r="G82" t="str">
        <f ca="1">Date!V5</f>
        <v>04/08/2015</v>
      </c>
      <c r="H82" t="str">
        <f ca="1">Date!V6</f>
        <v>04/07/2015</v>
      </c>
      <c r="I82" t="str">
        <f ca="1">Date!V7</f>
        <v>04/06/2015</v>
      </c>
      <c r="J82" t="str">
        <f ca="1">Date!V8</f>
        <v>04/07/2015</v>
      </c>
      <c r="K82" t="str">
        <f ca="1">Date!V9</f>
        <v>04/08/2015</v>
      </c>
      <c r="L82" t="str">
        <f ca="1">Date!V10</f>
        <v>04/09/2015</v>
      </c>
      <c r="M82" t="str">
        <f>Date!V11</f>
        <v/>
      </c>
      <c r="N82" t="str">
        <f>Date!V12</f>
        <v/>
      </c>
      <c r="O82" t="str">
        <f>Date!V13</f>
        <v/>
      </c>
      <c r="P82" t="str">
        <f>Date!V14</f>
        <v/>
      </c>
      <c r="Q82" t="str">
        <f>Date!V15</f>
        <v/>
      </c>
      <c r="R82" t="str">
        <f>Date!V16</f>
        <v/>
      </c>
      <c r="S82" t="str">
        <f>Date!V17</f>
        <v/>
      </c>
      <c r="T82" t="str">
        <f>Date!V18</f>
        <v/>
      </c>
      <c r="U82" t="str">
        <f>Date!V19</f>
        <v/>
      </c>
      <c r="V82" t="str">
        <f>Date!V20</f>
        <v/>
      </c>
      <c r="W82" t="str">
        <f>Date!V21</f>
        <v/>
      </c>
      <c r="X82" t="str">
        <f>Date!V22</f>
        <v/>
      </c>
      <c r="Y82" t="str">
        <f>Date!V23</f>
        <v/>
      </c>
    </row>
    <row r="83" spans="1:25">
      <c r="A83">
        <v>3</v>
      </c>
      <c r="E83" t="str">
        <f ca="1">Date!V2</f>
        <v>04/07/2015</v>
      </c>
      <c r="F83" t="str">
        <f ca="1">Date!V3</f>
        <v>04/07/2015</v>
      </c>
      <c r="G83" t="str">
        <f ca="1">Date!V4</f>
        <v>04/08/2015</v>
      </c>
      <c r="H83" t="str">
        <f ca="1">Date!V5</f>
        <v>04/08/2015</v>
      </c>
      <c r="I83" t="str">
        <f ca="1">Date!V6</f>
        <v>04/07/2015</v>
      </c>
      <c r="J83" t="str">
        <f ca="1">Date!V7</f>
        <v>04/06/2015</v>
      </c>
      <c r="K83" t="str">
        <f ca="1">Date!V8</f>
        <v>04/07/2015</v>
      </c>
      <c r="L83" t="str">
        <f ca="1">Date!V9</f>
        <v>04/08/2015</v>
      </c>
      <c r="M83" t="str">
        <f ca="1">Date!V10</f>
        <v>04/09/2015</v>
      </c>
      <c r="N83" t="str">
        <f>Date!V11</f>
        <v/>
      </c>
      <c r="O83" t="str">
        <f>Date!V12</f>
        <v/>
      </c>
      <c r="P83" t="str">
        <f>Date!V13</f>
        <v/>
      </c>
      <c r="Q83" t="str">
        <f>Date!V14</f>
        <v/>
      </c>
      <c r="R83" t="str">
        <f>Date!V15</f>
        <v/>
      </c>
      <c r="S83" t="str">
        <f>Date!V16</f>
        <v/>
      </c>
      <c r="T83" t="str">
        <f>Date!V17</f>
        <v/>
      </c>
      <c r="U83" t="str">
        <f>Date!V18</f>
        <v/>
      </c>
      <c r="V83" t="str">
        <f>Date!V19</f>
        <v/>
      </c>
      <c r="W83" t="str">
        <f>Date!V20</f>
        <v/>
      </c>
      <c r="X83" t="str">
        <f>Date!V21</f>
        <v/>
      </c>
      <c r="Y83" t="str">
        <f>Date!V22</f>
        <v/>
      </c>
    </row>
    <row r="84" spans="1:25">
      <c r="A84">
        <v>4</v>
      </c>
      <c r="F84" t="str">
        <f ca="1">Date!V2</f>
        <v>04/07/2015</v>
      </c>
      <c r="G84" t="str">
        <f ca="1">Date!V3</f>
        <v>04/07/2015</v>
      </c>
      <c r="H84" t="str">
        <f ca="1">Date!V4</f>
        <v>04/08/2015</v>
      </c>
      <c r="I84" t="str">
        <f ca="1">Date!V5</f>
        <v>04/08/2015</v>
      </c>
      <c r="J84" t="str">
        <f ca="1">Date!V6</f>
        <v>04/07/2015</v>
      </c>
      <c r="K84" t="str">
        <f ca="1">Date!V7</f>
        <v>04/06/2015</v>
      </c>
      <c r="L84" t="str">
        <f ca="1">Date!V8</f>
        <v>04/07/2015</v>
      </c>
      <c r="M84" t="str">
        <f ca="1">Date!V9</f>
        <v>04/08/2015</v>
      </c>
      <c r="N84" t="str">
        <f ca="1">Date!V10</f>
        <v>04/09/2015</v>
      </c>
      <c r="O84" t="str">
        <f>Date!V11</f>
        <v/>
      </c>
      <c r="P84" t="str">
        <f>Date!V12</f>
        <v/>
      </c>
      <c r="Q84" t="str">
        <f>Date!V13</f>
        <v/>
      </c>
      <c r="R84" t="str">
        <f>Date!V14</f>
        <v/>
      </c>
      <c r="S84" t="str">
        <f>Date!V15</f>
        <v/>
      </c>
      <c r="T84" t="str">
        <f>Date!V16</f>
        <v/>
      </c>
      <c r="U84" t="str">
        <f>Date!V17</f>
        <v/>
      </c>
      <c r="V84" t="str">
        <f>Date!V18</f>
        <v/>
      </c>
      <c r="W84" t="str">
        <f>Date!V19</f>
        <v/>
      </c>
      <c r="X84" t="str">
        <f>Date!V20</f>
        <v/>
      </c>
      <c r="Y84" t="str">
        <f>Date!V21</f>
        <v/>
      </c>
    </row>
    <row r="85" spans="1:25">
      <c r="A85">
        <v>5</v>
      </c>
      <c r="G85" t="str">
        <f ca="1">Date!V2</f>
        <v>04/07/2015</v>
      </c>
      <c r="H85" t="str">
        <f ca="1">Date!V3</f>
        <v>04/07/2015</v>
      </c>
      <c r="I85" t="str">
        <f ca="1">Date!V4</f>
        <v>04/08/2015</v>
      </c>
      <c r="J85" t="str">
        <f ca="1">Date!V5</f>
        <v>04/08/2015</v>
      </c>
      <c r="K85" t="str">
        <f ca="1">Date!V6</f>
        <v>04/07/2015</v>
      </c>
      <c r="L85" t="str">
        <f ca="1">Date!V7</f>
        <v>04/06/2015</v>
      </c>
      <c r="M85" t="str">
        <f ca="1">Date!V8</f>
        <v>04/07/2015</v>
      </c>
      <c r="N85" t="str">
        <f ca="1">Date!V9</f>
        <v>04/08/2015</v>
      </c>
      <c r="O85" t="str">
        <f ca="1">Date!V10</f>
        <v>04/09/2015</v>
      </c>
      <c r="P85" t="str">
        <f>Date!V11</f>
        <v/>
      </c>
      <c r="Q85" t="str">
        <f>Date!V12</f>
        <v/>
      </c>
      <c r="R85" t="str">
        <f>Date!V13</f>
        <v/>
      </c>
      <c r="S85" t="str">
        <f>Date!V14</f>
        <v/>
      </c>
      <c r="T85" t="str">
        <f>Date!V15</f>
        <v/>
      </c>
      <c r="U85" t="str">
        <f>Date!V16</f>
        <v/>
      </c>
      <c r="V85" t="str">
        <f>Date!V17</f>
        <v/>
      </c>
      <c r="W85" t="str">
        <f>Date!V18</f>
        <v/>
      </c>
      <c r="X85" t="str">
        <f>Date!V19</f>
        <v/>
      </c>
      <c r="Y85" t="str">
        <f>Date!V20</f>
        <v/>
      </c>
    </row>
    <row r="86" spans="1:25">
      <c r="A86">
        <v>6</v>
      </c>
      <c r="H86" t="str">
        <f ca="1">Date!V2</f>
        <v>04/07/2015</v>
      </c>
      <c r="I86" t="str">
        <f ca="1">Date!V3</f>
        <v>04/07/2015</v>
      </c>
      <c r="J86" t="str">
        <f ca="1">Date!V4</f>
        <v>04/08/2015</v>
      </c>
      <c r="K86" t="str">
        <f ca="1">Date!V5</f>
        <v>04/08/2015</v>
      </c>
      <c r="L86" t="str">
        <f ca="1">Date!V6</f>
        <v>04/07/2015</v>
      </c>
      <c r="M86" t="str">
        <f ca="1">Date!V7</f>
        <v>04/06/2015</v>
      </c>
      <c r="N86" t="str">
        <f ca="1">Date!V8</f>
        <v>04/07/2015</v>
      </c>
      <c r="O86" t="str">
        <f ca="1">Date!V9</f>
        <v>04/08/2015</v>
      </c>
      <c r="P86" t="str">
        <f ca="1">Date!V10</f>
        <v>04/09/2015</v>
      </c>
      <c r="Q86" t="str">
        <f>Date!V11</f>
        <v/>
      </c>
      <c r="R86" t="str">
        <f>Date!V12</f>
        <v/>
      </c>
      <c r="S86" t="str">
        <f>Date!V13</f>
        <v/>
      </c>
      <c r="T86" t="str">
        <f>Date!V14</f>
        <v/>
      </c>
      <c r="U86" t="str">
        <f>Date!V15</f>
        <v/>
      </c>
      <c r="V86" t="str">
        <f>Date!V16</f>
        <v/>
      </c>
      <c r="W86" t="str">
        <f>Date!V17</f>
        <v/>
      </c>
      <c r="X86" t="str">
        <f>Date!V18</f>
        <v/>
      </c>
      <c r="Y86" t="str">
        <f>Date!V19</f>
        <v/>
      </c>
    </row>
    <row r="87" spans="1:25">
      <c r="A87">
        <v>7</v>
      </c>
      <c r="I87" t="str">
        <f ca="1">Date!V2</f>
        <v>04/07/2015</v>
      </c>
      <c r="J87" t="str">
        <f ca="1">Date!V3</f>
        <v>04/07/2015</v>
      </c>
      <c r="K87" t="str">
        <f ca="1">Date!V4</f>
        <v>04/08/2015</v>
      </c>
      <c r="L87" t="str">
        <f ca="1">Date!V5</f>
        <v>04/08/2015</v>
      </c>
      <c r="M87" t="str">
        <f ca="1">Date!V6</f>
        <v>04/07/2015</v>
      </c>
      <c r="N87" t="str">
        <f ca="1">Date!V7</f>
        <v>04/06/2015</v>
      </c>
      <c r="O87" t="str">
        <f ca="1">Date!V8</f>
        <v>04/07/2015</v>
      </c>
      <c r="P87" t="str">
        <f ca="1">Date!V9</f>
        <v>04/08/2015</v>
      </c>
      <c r="Q87" t="str">
        <f ca="1">Date!V10</f>
        <v>04/09/2015</v>
      </c>
      <c r="R87" t="str">
        <f>Date!V11</f>
        <v/>
      </c>
      <c r="S87" t="str">
        <f>Date!V12</f>
        <v/>
      </c>
      <c r="T87" t="str">
        <f>Date!V13</f>
        <v/>
      </c>
      <c r="U87" t="str">
        <f>Date!V14</f>
        <v/>
      </c>
      <c r="V87" t="str">
        <f>Date!V15</f>
        <v/>
      </c>
      <c r="W87" t="str">
        <f>Date!V16</f>
        <v/>
      </c>
      <c r="X87" t="str">
        <f>Date!V17</f>
        <v/>
      </c>
      <c r="Y87" t="str">
        <f>Date!V18</f>
        <v/>
      </c>
    </row>
    <row r="88" spans="1:25">
      <c r="A88">
        <v>8</v>
      </c>
      <c r="J88" t="str">
        <f ca="1">Date!V2</f>
        <v>04/07/2015</v>
      </c>
      <c r="K88" t="str">
        <f ca="1">Date!V3</f>
        <v>04/07/2015</v>
      </c>
      <c r="L88" t="str">
        <f ca="1">Date!V4</f>
        <v>04/08/2015</v>
      </c>
      <c r="M88" t="str">
        <f ca="1">Date!V5</f>
        <v>04/08/2015</v>
      </c>
      <c r="N88" t="str">
        <f ca="1">Date!V6</f>
        <v>04/07/2015</v>
      </c>
      <c r="O88" t="str">
        <f ca="1">Date!V7</f>
        <v>04/06/2015</v>
      </c>
      <c r="P88" t="str">
        <f ca="1">Date!V8</f>
        <v>04/07/2015</v>
      </c>
      <c r="Q88" t="str">
        <f ca="1">Date!V9</f>
        <v>04/08/2015</v>
      </c>
      <c r="R88" t="str">
        <f ca="1">Date!V10</f>
        <v>04/09/2015</v>
      </c>
      <c r="S88" t="str">
        <f>Date!V11</f>
        <v/>
      </c>
      <c r="T88" t="str">
        <f>Date!V12</f>
        <v/>
      </c>
      <c r="U88" t="str">
        <f>Date!V13</f>
        <v/>
      </c>
      <c r="V88" t="str">
        <f>Date!V14</f>
        <v/>
      </c>
      <c r="W88" t="str">
        <f>Date!V15</f>
        <v/>
      </c>
      <c r="X88" t="str">
        <f>Date!V16</f>
        <v/>
      </c>
      <c r="Y88" t="str">
        <f>Date!V17</f>
        <v/>
      </c>
    </row>
    <row r="89" spans="1:25">
      <c r="A89">
        <v>9</v>
      </c>
      <c r="K89" t="str">
        <f ca="1">Date!V2</f>
        <v>04/07/2015</v>
      </c>
      <c r="L89" t="str">
        <f ca="1">Date!V3</f>
        <v>04/07/2015</v>
      </c>
      <c r="M89" t="str">
        <f ca="1">Date!V4</f>
        <v>04/08/2015</v>
      </c>
      <c r="N89" t="str">
        <f ca="1">Date!V5</f>
        <v>04/08/2015</v>
      </c>
      <c r="O89" t="str">
        <f ca="1">Date!V6</f>
        <v>04/07/2015</v>
      </c>
      <c r="P89" t="str">
        <f ca="1">Date!V7</f>
        <v>04/06/2015</v>
      </c>
      <c r="Q89" t="str">
        <f ca="1">Date!V8</f>
        <v>04/07/2015</v>
      </c>
      <c r="R89" t="str">
        <f ca="1">Date!V9</f>
        <v>04/08/2015</v>
      </c>
      <c r="S89" t="str">
        <f ca="1">Date!V10</f>
        <v>04/09/2015</v>
      </c>
      <c r="T89" t="str">
        <f>Date!V11</f>
        <v/>
      </c>
      <c r="U89" t="str">
        <f>Date!V12</f>
        <v/>
      </c>
      <c r="V89" t="str">
        <f>Date!V13</f>
        <v/>
      </c>
      <c r="W89" t="str">
        <f>Date!V14</f>
        <v/>
      </c>
      <c r="X89" t="str">
        <f>Date!V15</f>
        <v/>
      </c>
      <c r="Y89" t="str">
        <f>Date!V16</f>
        <v/>
      </c>
    </row>
    <row r="90" spans="1:25">
      <c r="A90">
        <v>10</v>
      </c>
      <c r="L90" t="str">
        <f ca="1">Date!V2</f>
        <v>04/07/2015</v>
      </c>
      <c r="M90" t="str">
        <f ca="1">Date!V3</f>
        <v>04/07/2015</v>
      </c>
      <c r="N90" t="str">
        <f ca="1">Date!V4</f>
        <v>04/08/2015</v>
      </c>
      <c r="O90" t="str">
        <f ca="1">Date!V5</f>
        <v>04/08/2015</v>
      </c>
      <c r="P90" t="str">
        <f ca="1">Date!V6</f>
        <v>04/07/2015</v>
      </c>
      <c r="Q90" t="str">
        <f ca="1">Date!V7</f>
        <v>04/06/2015</v>
      </c>
      <c r="R90" t="str">
        <f ca="1">Date!V8</f>
        <v>04/07/2015</v>
      </c>
      <c r="S90" t="str">
        <f ca="1">Date!V9</f>
        <v>04/08/2015</v>
      </c>
      <c r="T90" t="str">
        <f ca="1">Date!V10</f>
        <v>04/09/2015</v>
      </c>
      <c r="U90" t="str">
        <f>Date!V11</f>
        <v/>
      </c>
      <c r="V90" t="str">
        <f>Date!V12</f>
        <v/>
      </c>
      <c r="W90" t="str">
        <f>Date!V13</f>
        <v/>
      </c>
      <c r="X90" t="str">
        <f>Date!V14</f>
        <v/>
      </c>
      <c r="Y90" t="str">
        <f>Date!V15</f>
        <v/>
      </c>
    </row>
    <row r="91" spans="1:25">
      <c r="A91">
        <v>11</v>
      </c>
      <c r="M91" t="str">
        <f ca="1">Date!V2</f>
        <v>04/07/2015</v>
      </c>
      <c r="N91" t="str">
        <f ca="1">Date!V3</f>
        <v>04/07/2015</v>
      </c>
      <c r="O91" t="str">
        <f ca="1">Date!V4</f>
        <v>04/08/2015</v>
      </c>
      <c r="P91" t="str">
        <f ca="1">Date!V5</f>
        <v>04/08/2015</v>
      </c>
      <c r="Q91" t="str">
        <f ca="1">Date!V6</f>
        <v>04/07/2015</v>
      </c>
      <c r="R91" t="str">
        <f ca="1">Date!V7</f>
        <v>04/06/2015</v>
      </c>
      <c r="S91" t="str">
        <f ca="1">Date!V8</f>
        <v>04/07/2015</v>
      </c>
      <c r="T91" t="str">
        <f ca="1">Date!V9</f>
        <v>04/08/2015</v>
      </c>
      <c r="U91" t="str">
        <f ca="1">Date!V10</f>
        <v>04/09/2015</v>
      </c>
      <c r="V91" t="str">
        <f>Date!V11</f>
        <v/>
      </c>
      <c r="W91" t="str">
        <f>Date!V12</f>
        <v/>
      </c>
      <c r="X91" t="str">
        <f>Date!V13</f>
        <v/>
      </c>
      <c r="Y91" t="str">
        <f>Date!V14</f>
        <v/>
      </c>
    </row>
    <row r="92" spans="1:25">
      <c r="A92">
        <v>12</v>
      </c>
      <c r="N92" t="str">
        <f ca="1">Date!V2</f>
        <v>04/07/2015</v>
      </c>
      <c r="O92" t="str">
        <f ca="1">Date!V3</f>
        <v>04/07/2015</v>
      </c>
      <c r="P92" t="str">
        <f ca="1">Date!V4</f>
        <v>04/08/2015</v>
      </c>
      <c r="Q92" t="str">
        <f ca="1">Date!V5</f>
        <v>04/08/2015</v>
      </c>
      <c r="R92" t="str">
        <f ca="1">Date!V6</f>
        <v>04/07/2015</v>
      </c>
      <c r="S92" t="str">
        <f ca="1">Date!V7</f>
        <v>04/06/2015</v>
      </c>
      <c r="T92" t="str">
        <f ca="1">Date!V8</f>
        <v>04/07/2015</v>
      </c>
      <c r="U92" t="str">
        <f ca="1">Date!V9</f>
        <v>04/08/2015</v>
      </c>
      <c r="V92" t="str">
        <f ca="1">Date!V10</f>
        <v>04/09/2015</v>
      </c>
      <c r="W92" t="str">
        <f>Date!V11</f>
        <v/>
      </c>
      <c r="X92" t="str">
        <f>Date!V12</f>
        <v/>
      </c>
      <c r="Y92" t="str">
        <f>Date!V13</f>
        <v/>
      </c>
    </row>
    <row r="93" spans="1:25">
      <c r="A93">
        <v>13</v>
      </c>
      <c r="O93" t="str">
        <f ca="1">Date!V2</f>
        <v>04/07/2015</v>
      </c>
      <c r="P93" t="str">
        <f ca="1">Date!V3</f>
        <v>04/07/2015</v>
      </c>
      <c r="Q93" t="str">
        <f ca="1">Date!V4</f>
        <v>04/08/2015</v>
      </c>
      <c r="R93" t="str">
        <f ca="1">Date!V5</f>
        <v>04/08/2015</v>
      </c>
      <c r="S93" t="str">
        <f ca="1">Date!V6</f>
        <v>04/07/2015</v>
      </c>
      <c r="T93" t="str">
        <f ca="1">Date!V7</f>
        <v>04/06/2015</v>
      </c>
      <c r="U93" t="str">
        <f ca="1">Date!V8</f>
        <v>04/07/2015</v>
      </c>
      <c r="V93" t="str">
        <f ca="1">Date!V9</f>
        <v>04/08/2015</v>
      </c>
      <c r="W93" t="str">
        <f ca="1">Date!V10</f>
        <v>04/09/2015</v>
      </c>
      <c r="X93" t="str">
        <f>Date!V11</f>
        <v/>
      </c>
      <c r="Y93" t="str">
        <f>Date!V12</f>
        <v/>
      </c>
    </row>
    <row r="94" spans="1:25">
      <c r="A94">
        <v>14</v>
      </c>
      <c r="P94" t="str">
        <f ca="1">Date!V2</f>
        <v>04/07/2015</v>
      </c>
      <c r="Q94" t="str">
        <f ca="1">Date!V3</f>
        <v>04/07/2015</v>
      </c>
      <c r="R94" t="str">
        <f ca="1">Date!V4</f>
        <v>04/08/2015</v>
      </c>
      <c r="S94" t="str">
        <f ca="1">Date!V5</f>
        <v>04/08/2015</v>
      </c>
      <c r="T94" t="str">
        <f ca="1">Date!V6</f>
        <v>04/07/2015</v>
      </c>
      <c r="U94" t="str">
        <f ca="1">Date!V7</f>
        <v>04/06/2015</v>
      </c>
      <c r="V94" t="str">
        <f ca="1">Date!V8</f>
        <v>04/07/2015</v>
      </c>
      <c r="W94" t="str">
        <f ca="1">Date!V9</f>
        <v>04/08/2015</v>
      </c>
      <c r="X94" t="str">
        <f ca="1">Date!V10</f>
        <v>04/09/2015</v>
      </c>
      <c r="Y94" t="str">
        <f>Date!V11</f>
        <v/>
      </c>
    </row>
    <row r="95" spans="1:25">
      <c r="A95">
        <v>15</v>
      </c>
      <c r="Q95" t="str">
        <f ca="1">Date!V2</f>
        <v>04/07/2015</v>
      </c>
      <c r="R95" t="str">
        <f ca="1">Date!V3</f>
        <v>04/07/2015</v>
      </c>
      <c r="S95" t="str">
        <f ca="1">Date!V4</f>
        <v>04/08/2015</v>
      </c>
      <c r="T95" t="str">
        <f ca="1">Date!V5</f>
        <v>04/08/2015</v>
      </c>
      <c r="U95" t="str">
        <f ca="1">Date!V6</f>
        <v>04/07/2015</v>
      </c>
      <c r="V95" t="str">
        <f ca="1">Date!V7</f>
        <v>04/06/2015</v>
      </c>
      <c r="W95" t="str">
        <f ca="1">Date!V8</f>
        <v>04/07/2015</v>
      </c>
      <c r="X95" t="str">
        <f ca="1">Date!V9</f>
        <v>04/08/2015</v>
      </c>
      <c r="Y95" t="str">
        <f ca="1">Date!V10</f>
        <v>04/09/2015</v>
      </c>
    </row>
    <row r="96" spans="1:25">
      <c r="A96">
        <v>16</v>
      </c>
      <c r="R96" t="str">
        <f ca="1">Date!V2</f>
        <v>04/07/2015</v>
      </c>
      <c r="S96" t="str">
        <f ca="1">Date!V3</f>
        <v>04/07/2015</v>
      </c>
      <c r="T96" t="str">
        <f ca="1">Date!V4</f>
        <v>04/08/2015</v>
      </c>
      <c r="U96" t="str">
        <f ca="1">Date!V5</f>
        <v>04/08/2015</v>
      </c>
      <c r="V96" t="str">
        <f ca="1">Date!V6</f>
        <v>04/07/2015</v>
      </c>
      <c r="W96" t="str">
        <f ca="1">Date!V7</f>
        <v>04/06/2015</v>
      </c>
      <c r="X96" t="str">
        <f ca="1">Date!V8</f>
        <v>04/07/2015</v>
      </c>
      <c r="Y96" t="str">
        <f ca="1">Date!V9</f>
        <v>04/08/2015</v>
      </c>
    </row>
    <row r="97" spans="1:25">
      <c r="A97">
        <v>17</v>
      </c>
      <c r="S97" t="str">
        <f ca="1">Date!V2</f>
        <v>04/07/2015</v>
      </c>
      <c r="T97" t="str">
        <f ca="1">Date!V3</f>
        <v>04/07/2015</v>
      </c>
      <c r="U97" t="str">
        <f ca="1">Date!V4</f>
        <v>04/08/2015</v>
      </c>
      <c r="V97" t="str">
        <f ca="1">Date!V5</f>
        <v>04/08/2015</v>
      </c>
      <c r="W97" t="str">
        <f ca="1">Date!V6</f>
        <v>04/07/2015</v>
      </c>
      <c r="X97" t="str">
        <f ca="1">Date!V7</f>
        <v>04/06/2015</v>
      </c>
      <c r="Y97" t="str">
        <f ca="1">Date!V8</f>
        <v>04/07/2015</v>
      </c>
    </row>
    <row r="98" spans="1:25">
      <c r="A98">
        <v>18</v>
      </c>
      <c r="T98" t="str">
        <f ca="1">Date!V2</f>
        <v>04/07/2015</v>
      </c>
      <c r="U98" t="str">
        <f ca="1">Date!V3</f>
        <v>04/07/2015</v>
      </c>
      <c r="V98" t="str">
        <f ca="1">Date!V4</f>
        <v>04/08/2015</v>
      </c>
      <c r="W98" t="str">
        <f ca="1">Date!V5</f>
        <v>04/08/2015</v>
      </c>
      <c r="X98" t="str">
        <f ca="1">Date!V6</f>
        <v>04/07/2015</v>
      </c>
      <c r="Y98" t="str">
        <f ca="1">Date!V7</f>
        <v>04/06/2015</v>
      </c>
    </row>
    <row r="99" spans="1:25">
      <c r="A99">
        <v>19</v>
      </c>
      <c r="U99" t="str">
        <f ca="1">Date!V2</f>
        <v>04/07/2015</v>
      </c>
      <c r="V99" t="str">
        <f ca="1">Date!V3</f>
        <v>04/07/2015</v>
      </c>
      <c r="W99" t="str">
        <f ca="1">Date!V4</f>
        <v>04/08/2015</v>
      </c>
      <c r="X99" t="str">
        <f ca="1">Date!V5</f>
        <v>04/08/2015</v>
      </c>
      <c r="Y99" t="str">
        <f ca="1">Date!V6</f>
        <v>04/07/2015</v>
      </c>
    </row>
    <row r="100" spans="1:25">
      <c r="A100">
        <v>20</v>
      </c>
      <c r="V100" t="str">
        <f ca="1">Date!V2</f>
        <v>04/07/2015</v>
      </c>
      <c r="W100" t="str">
        <f ca="1">Date!V3</f>
        <v>04/07/2015</v>
      </c>
      <c r="X100" t="str">
        <f ca="1">Date!V4</f>
        <v>04/08/2015</v>
      </c>
      <c r="Y100" t="str">
        <f ca="1">Date!V5</f>
        <v>04/08/2015</v>
      </c>
    </row>
    <row r="101" spans="1:25">
      <c r="A101">
        <v>21</v>
      </c>
      <c r="W101" t="str">
        <f ca="1">Date!V2</f>
        <v>04/07/2015</v>
      </c>
      <c r="X101" t="str">
        <f ca="1">Date!V3</f>
        <v>04/07/2015</v>
      </c>
      <c r="Y101" t="str">
        <f ca="1">Date!V4</f>
        <v>04/08/2015</v>
      </c>
    </row>
    <row r="102" spans="1:25">
      <c r="A102">
        <v>22</v>
      </c>
      <c r="X102" t="str">
        <f ca="1">Date!V2</f>
        <v>04/07/2015</v>
      </c>
      <c r="Y102" t="str">
        <f ca="1">Date!V3</f>
        <v>04/07/2015</v>
      </c>
    </row>
    <row r="103" spans="1:25">
      <c r="A103">
        <v>23</v>
      </c>
      <c r="Y103" t="str">
        <f ca="1">Date!V2</f>
        <v>04/07/2015</v>
      </c>
    </row>
    <row r="104" spans="1:25" s="206" customFormat="1"/>
  </sheetData>
  <mergeCells count="4">
    <mergeCell ref="A26:XFD26"/>
    <mergeCell ref="A52:XFD52"/>
    <mergeCell ref="A78:XFD78"/>
    <mergeCell ref="A104:XFD10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PasteHere</vt:lpstr>
      <vt:lpstr>Labels</vt:lpstr>
      <vt:lpstr>Inside (2)</vt:lpstr>
      <vt:lpstr>Code</vt:lpstr>
      <vt:lpstr>Sheet2</vt:lpstr>
      <vt:lpstr>Inside</vt:lpstr>
      <vt:lpstr>Insideinfo</vt:lpstr>
      <vt:lpstr>Date</vt:lpstr>
      <vt:lpstr>Bug</vt:lpstr>
      <vt:lpstr>LookUp</vt:lpstr>
      <vt:lpstr>Inside!Print_Area</vt:lpstr>
      <vt:lpstr>'Inside (2)'!Print_Area</vt:lpstr>
      <vt:lpstr>Labels!Print_Area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PCN</dc:creator>
  <cp:lastModifiedBy>PCN</cp:lastModifiedBy>
  <cp:lastPrinted>2015-04-07T13:27:42Z</cp:lastPrinted>
  <dcterms:created xsi:type="dcterms:W3CDTF">2012-07-23T17:17:36Z</dcterms:created>
  <dcterms:modified xsi:type="dcterms:W3CDTF">2015-04-07T20:32:46Z</dcterms:modified>
</cp:coreProperties>
</file>